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38339e92401881/Consolidated Invoices/"/>
    </mc:Choice>
  </mc:AlternateContent>
  <xr:revisionPtr revIDLastSave="275" documentId="8_{CB45654D-E26F-49E3-AEBF-FB14DE5D79CC}" xr6:coauthVersionLast="47" xr6:coauthVersionMax="47" xr10:uidLastSave="{3B8E6EAB-A6D2-45CD-8FFA-7FF3994CB665}"/>
  <bookViews>
    <workbookView xWindow="-90" yWindow="-90" windowWidth="19380" windowHeight="11460" tabRatio="596" firstSheet="17" activeTab="17" xr2:uid="{00000000-000D-0000-FFFF-FFFF00000000}"/>
  </bookViews>
  <sheets>
    <sheet name="Rates" sheetId="2" r:id="rId1"/>
    <sheet name="7-5-2022" sheetId="3" r:id="rId2"/>
    <sheet name="7-6-2022" sheetId="1" r:id="rId3"/>
    <sheet name="7-7-2022" sheetId="4" r:id="rId4"/>
    <sheet name="7-8-2022" sheetId="5" r:id="rId5"/>
    <sheet name="7-9-2022" sheetId="6" r:id="rId6"/>
    <sheet name="Invoice 41" sheetId="24" r:id="rId7"/>
    <sheet name="Invoice 43" sheetId="22" r:id="rId8"/>
    <sheet name="Invoice 44" sheetId="21" r:id="rId9"/>
    <sheet name="Invoice 45" sheetId="20" r:id="rId10"/>
    <sheet name="Dataset 41" sheetId="7" r:id="rId11"/>
    <sheet name="Dataset 42" sheetId="12" r:id="rId12"/>
    <sheet name="Dataset 43" sheetId="13" r:id="rId13"/>
    <sheet name="Dataset 44" sheetId="14" r:id="rId14"/>
    <sheet name="Dataset 45" sheetId="15" r:id="rId15"/>
    <sheet name="Dataset 46" sheetId="28" r:id="rId16"/>
    <sheet name="Dataset 47" sheetId="35" r:id="rId17"/>
    <sheet name="Dataset 48" sheetId="36" r:id="rId18"/>
    <sheet name="Dataset 49" sheetId="40" r:id="rId19"/>
    <sheet name="Dataset 50" sheetId="42" r:id="rId20"/>
    <sheet name="Inv 41" sheetId="8" r:id="rId21"/>
    <sheet name="Inv 42" sheetId="23" r:id="rId22"/>
    <sheet name="Inv 43" sheetId="11" r:id="rId23"/>
    <sheet name="Inv 44" sheetId="10" r:id="rId24"/>
    <sheet name="Inv 45" sheetId="16" r:id="rId25"/>
    <sheet name="Inv 46" sheetId="27" r:id="rId26"/>
    <sheet name="Inv 47" sheetId="34" r:id="rId27"/>
    <sheet name="Inv 48" sheetId="37" r:id="rId28"/>
    <sheet name="Inv 49" sheetId="39" r:id="rId29"/>
    <sheet name="Inv 50" sheetId="41" r:id="rId30"/>
  </sheets>
  <calcPr calcId="191028"/>
  <pivotCaches>
    <pivotCache cacheId="16" r:id="rId31"/>
    <pivotCache cacheId="17" r:id="rId32"/>
    <pivotCache cacheId="18" r:id="rId33"/>
    <pivotCache cacheId="19" r:id="rId34"/>
    <pivotCache cacheId="20" r:id="rId35"/>
    <pivotCache cacheId="21" r:id="rId36"/>
    <pivotCache cacheId="22" r:id="rId37"/>
    <pivotCache cacheId="23" r:id="rId38"/>
    <pivotCache cacheId="24" r:id="rId39"/>
    <pivotCache cacheId="25" r:id="rId40"/>
    <pivotCache cacheId="26" r:id="rId41"/>
    <pivotCache cacheId="15" r:id="rId4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6" i="42" l="1"/>
  <c r="J85" i="42"/>
  <c r="J84" i="42"/>
  <c r="J83" i="42"/>
  <c r="J82" i="42"/>
  <c r="J81" i="42"/>
  <c r="J80" i="42"/>
  <c r="J79" i="42"/>
  <c r="J78" i="42"/>
  <c r="J77" i="42"/>
  <c r="J76" i="42"/>
  <c r="J75" i="42"/>
  <c r="J74" i="42"/>
  <c r="J73" i="42"/>
  <c r="J72" i="42"/>
  <c r="J71" i="42"/>
  <c r="J70" i="42"/>
  <c r="J69" i="42"/>
  <c r="J68" i="42"/>
  <c r="J67" i="42"/>
  <c r="J66" i="42"/>
  <c r="J65" i="42"/>
  <c r="J64" i="42"/>
  <c r="J63" i="42"/>
  <c r="J62" i="42"/>
  <c r="J61" i="42"/>
  <c r="J60" i="42"/>
  <c r="J59" i="42"/>
  <c r="J58" i="42"/>
  <c r="J57" i="42"/>
  <c r="J56" i="42"/>
  <c r="J55" i="42"/>
  <c r="J54" i="42"/>
  <c r="J53" i="42"/>
  <c r="J52" i="42"/>
  <c r="J51" i="42"/>
  <c r="J50" i="42"/>
  <c r="J49" i="42"/>
  <c r="J48" i="42"/>
  <c r="J47" i="42"/>
  <c r="J46" i="42"/>
  <c r="J45" i="42"/>
  <c r="J44" i="42"/>
  <c r="J43" i="42"/>
  <c r="J42" i="42"/>
  <c r="J41" i="42"/>
  <c r="J40" i="42"/>
  <c r="J39" i="42"/>
  <c r="J38" i="42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20" i="42"/>
  <c r="J19" i="42"/>
  <c r="J18" i="42"/>
  <c r="J17" i="42"/>
  <c r="J16" i="42"/>
  <c r="J15" i="42"/>
  <c r="J14" i="42"/>
  <c r="J13" i="42"/>
  <c r="J12" i="42"/>
  <c r="J11" i="42"/>
  <c r="J10" i="42"/>
  <c r="J9" i="42"/>
  <c r="J8" i="42"/>
  <c r="J7" i="42"/>
  <c r="J6" i="42"/>
  <c r="J5" i="42"/>
  <c r="J4" i="42"/>
  <c r="J3" i="42"/>
  <c r="J2" i="42"/>
  <c r="J103" i="40"/>
  <c r="J102" i="40"/>
  <c r="J101" i="40"/>
  <c r="J100" i="40"/>
  <c r="J99" i="40"/>
  <c r="J98" i="40"/>
  <c r="J97" i="40"/>
  <c r="J96" i="40"/>
  <c r="J95" i="40"/>
  <c r="J94" i="40"/>
  <c r="J93" i="40"/>
  <c r="J92" i="40"/>
  <c r="J91" i="40"/>
  <c r="J90" i="40"/>
  <c r="J89" i="40"/>
  <c r="J88" i="40"/>
  <c r="J87" i="40"/>
  <c r="J86" i="40"/>
  <c r="J85" i="40"/>
  <c r="J84" i="40"/>
  <c r="J83" i="40"/>
  <c r="J82" i="40"/>
  <c r="J81" i="40"/>
  <c r="J80" i="40"/>
  <c r="J79" i="40"/>
  <c r="J78" i="40"/>
  <c r="J77" i="40"/>
  <c r="J76" i="40"/>
  <c r="J75" i="40"/>
  <c r="J74" i="40"/>
  <c r="J73" i="40"/>
  <c r="J72" i="40"/>
  <c r="J71" i="40"/>
  <c r="J70" i="40"/>
  <c r="J69" i="40"/>
  <c r="J68" i="40"/>
  <c r="J67" i="40"/>
  <c r="J66" i="40"/>
  <c r="J65" i="40"/>
  <c r="J64" i="40"/>
  <c r="J63" i="40"/>
  <c r="J62" i="40"/>
  <c r="J61" i="40"/>
  <c r="J60" i="40"/>
  <c r="J59" i="40"/>
  <c r="J58" i="40"/>
  <c r="J57" i="40"/>
  <c r="J56" i="40"/>
  <c r="J55" i="40"/>
  <c r="J54" i="40"/>
  <c r="J53" i="40"/>
  <c r="J52" i="40"/>
  <c r="J51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8" i="40"/>
  <c r="J37" i="40"/>
  <c r="J36" i="40"/>
  <c r="J35" i="40"/>
  <c r="J34" i="40"/>
  <c r="J33" i="40"/>
  <c r="J32" i="40"/>
  <c r="J31" i="40"/>
  <c r="J30" i="40"/>
  <c r="J29" i="40"/>
  <c r="J28" i="40"/>
  <c r="J27" i="40"/>
  <c r="J26" i="40"/>
  <c r="J25" i="40"/>
  <c r="J24" i="40"/>
  <c r="J23" i="40"/>
  <c r="J22" i="40"/>
  <c r="J21" i="40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J5" i="40"/>
  <c r="J4" i="40"/>
  <c r="J3" i="40"/>
  <c r="J2" i="40"/>
  <c r="J120" i="36"/>
  <c r="J119" i="36"/>
  <c r="J118" i="36"/>
  <c r="J117" i="36"/>
  <c r="J116" i="36"/>
  <c r="J115" i="36"/>
  <c r="J114" i="36"/>
  <c r="J113" i="36"/>
  <c r="J112" i="36"/>
  <c r="J111" i="36"/>
  <c r="J110" i="36"/>
  <c r="J109" i="36"/>
  <c r="J108" i="36"/>
  <c r="J107" i="36"/>
  <c r="J106" i="36"/>
  <c r="J105" i="36"/>
  <c r="J104" i="36"/>
  <c r="J103" i="36"/>
  <c r="J102" i="36"/>
  <c r="J101" i="36"/>
  <c r="J100" i="36"/>
  <c r="J99" i="36"/>
  <c r="J98" i="36"/>
  <c r="J97" i="36"/>
  <c r="J96" i="36"/>
  <c r="J95" i="36"/>
  <c r="J94" i="36"/>
  <c r="J93" i="36"/>
  <c r="J92" i="36"/>
  <c r="J91" i="36"/>
  <c r="J90" i="36"/>
  <c r="J89" i="36"/>
  <c r="J88" i="36"/>
  <c r="J87" i="36"/>
  <c r="J86" i="36"/>
  <c r="J85" i="36"/>
  <c r="J84" i="36"/>
  <c r="J83" i="36"/>
  <c r="J82" i="36"/>
  <c r="J81" i="36"/>
  <c r="J80" i="36"/>
  <c r="J79" i="36"/>
  <c r="J78" i="36"/>
  <c r="J77" i="36"/>
  <c r="J76" i="36"/>
  <c r="J75" i="36"/>
  <c r="J74" i="36"/>
  <c r="J73" i="36"/>
  <c r="J72" i="36"/>
  <c r="J71" i="36"/>
  <c r="J70" i="36"/>
  <c r="J69" i="36"/>
  <c r="J68" i="36"/>
  <c r="J67" i="36"/>
  <c r="J66" i="36"/>
  <c r="J65" i="36"/>
  <c r="J64" i="36"/>
  <c r="J63" i="36"/>
  <c r="J62" i="36"/>
  <c r="J61" i="36"/>
  <c r="J60" i="36"/>
  <c r="J59" i="36"/>
  <c r="J58" i="36"/>
  <c r="J57" i="36"/>
  <c r="J56" i="36"/>
  <c r="J55" i="36"/>
  <c r="J54" i="36"/>
  <c r="J53" i="36"/>
  <c r="J52" i="36"/>
  <c r="J51" i="36"/>
  <c r="J50" i="36"/>
  <c r="J49" i="36"/>
  <c r="J48" i="36"/>
  <c r="J47" i="36"/>
  <c r="J46" i="36"/>
  <c r="J45" i="36"/>
  <c r="J44" i="36"/>
  <c r="J43" i="36"/>
  <c r="J42" i="36"/>
  <c r="J41" i="36"/>
  <c r="J40" i="36"/>
  <c r="J39" i="36"/>
  <c r="J38" i="36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J5" i="36"/>
  <c r="J4" i="36"/>
  <c r="J3" i="36"/>
  <c r="J2" i="36"/>
  <c r="J121" i="36" s="1"/>
  <c r="D5" i="37"/>
  <c r="D5" i="39"/>
  <c r="D5" i="41"/>
  <c r="J87" i="42" l="1"/>
  <c r="J104" i="40"/>
  <c r="J131" i="35"/>
  <c r="J130" i="35"/>
  <c r="J129" i="35"/>
  <c r="J128" i="35"/>
  <c r="J127" i="35"/>
  <c r="J126" i="35"/>
  <c r="J125" i="35"/>
  <c r="J124" i="35"/>
  <c r="J123" i="35"/>
  <c r="J122" i="35"/>
  <c r="J121" i="35"/>
  <c r="J120" i="35"/>
  <c r="J119" i="35"/>
  <c r="J118" i="35"/>
  <c r="J117" i="35"/>
  <c r="J116" i="35"/>
  <c r="J115" i="35"/>
  <c r="J114" i="35"/>
  <c r="J113" i="35"/>
  <c r="J112" i="35"/>
  <c r="J111" i="35"/>
  <c r="J110" i="35"/>
  <c r="J109" i="35"/>
  <c r="J108" i="35"/>
  <c r="J107" i="35"/>
  <c r="J106" i="35"/>
  <c r="J105" i="35"/>
  <c r="J104" i="35"/>
  <c r="J103" i="35"/>
  <c r="J102" i="35"/>
  <c r="J101" i="35"/>
  <c r="J100" i="35"/>
  <c r="J99" i="35"/>
  <c r="J98" i="35"/>
  <c r="J97" i="35"/>
  <c r="J96" i="35"/>
  <c r="J95" i="35"/>
  <c r="J94" i="35"/>
  <c r="J93" i="35"/>
  <c r="J92" i="35"/>
  <c r="J91" i="35"/>
  <c r="J90" i="35"/>
  <c r="J89" i="35"/>
  <c r="J88" i="35"/>
  <c r="J87" i="35"/>
  <c r="J86" i="35"/>
  <c r="J85" i="35"/>
  <c r="J84" i="35"/>
  <c r="J83" i="35"/>
  <c r="J82" i="35"/>
  <c r="J81" i="35"/>
  <c r="J80" i="35"/>
  <c r="J79" i="35"/>
  <c r="J78" i="35"/>
  <c r="J77" i="35"/>
  <c r="J76" i="35"/>
  <c r="J75" i="35"/>
  <c r="J74" i="35"/>
  <c r="J73" i="35"/>
  <c r="J72" i="35"/>
  <c r="J71" i="35"/>
  <c r="J70" i="35"/>
  <c r="J69" i="35"/>
  <c r="J68" i="35"/>
  <c r="J67" i="35"/>
  <c r="J66" i="35"/>
  <c r="J65" i="35"/>
  <c r="J64" i="35"/>
  <c r="J63" i="35"/>
  <c r="J62" i="35"/>
  <c r="J61" i="35"/>
  <c r="J60" i="35"/>
  <c r="J59" i="35"/>
  <c r="J58" i="35"/>
  <c r="J57" i="35"/>
  <c r="J56" i="35"/>
  <c r="J55" i="35"/>
  <c r="J54" i="35"/>
  <c r="J53" i="35"/>
  <c r="J52" i="35"/>
  <c r="J51" i="35"/>
  <c r="J50" i="35"/>
  <c r="J49" i="35"/>
  <c r="J48" i="35"/>
  <c r="J47" i="35"/>
  <c r="J46" i="35"/>
  <c r="J45" i="35"/>
  <c r="J44" i="35"/>
  <c r="J43" i="35"/>
  <c r="J42" i="35"/>
  <c r="J41" i="35"/>
  <c r="J40" i="35"/>
  <c r="J39" i="35"/>
  <c r="J38" i="35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20" i="35"/>
  <c r="J19" i="35"/>
  <c r="J18" i="35"/>
  <c r="J17" i="35"/>
  <c r="J16" i="35"/>
  <c r="J15" i="35"/>
  <c r="J14" i="35"/>
  <c r="J13" i="35"/>
  <c r="J12" i="35"/>
  <c r="J11" i="35"/>
  <c r="J10" i="35"/>
  <c r="J9" i="35"/>
  <c r="J8" i="35"/>
  <c r="J7" i="35"/>
  <c r="J6" i="35"/>
  <c r="J5" i="35"/>
  <c r="J4" i="35"/>
  <c r="J3" i="35"/>
  <c r="J2" i="35"/>
  <c r="J132" i="35" s="1"/>
  <c r="D5" i="34"/>
  <c r="J87" i="28" l="1"/>
  <c r="J86" i="28"/>
  <c r="J85" i="28"/>
  <c r="J84" i="28"/>
  <c r="J83" i="28"/>
  <c r="J82" i="28"/>
  <c r="J81" i="28"/>
  <c r="J80" i="28"/>
  <c r="J79" i="28"/>
  <c r="J78" i="28"/>
  <c r="J77" i="28"/>
  <c r="J76" i="28"/>
  <c r="J75" i="28"/>
  <c r="J74" i="28"/>
  <c r="J73" i="28"/>
  <c r="J72" i="28"/>
  <c r="J71" i="28"/>
  <c r="J70" i="28"/>
  <c r="J69" i="28"/>
  <c r="J68" i="28"/>
  <c r="J67" i="28"/>
  <c r="J66" i="28"/>
  <c r="J65" i="28"/>
  <c r="J64" i="28"/>
  <c r="J63" i="28"/>
  <c r="J62" i="28"/>
  <c r="J61" i="28"/>
  <c r="J60" i="28"/>
  <c r="J59" i="28"/>
  <c r="J58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D5" i="11"/>
  <c r="D5" i="10"/>
  <c r="D5" i="8"/>
  <c r="J59" i="7"/>
  <c r="J58" i="7"/>
  <c r="J57" i="7"/>
  <c r="J56" i="7"/>
  <c r="J55" i="7"/>
  <c r="J61" i="7" s="1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19" i="7"/>
  <c r="J18" i="7"/>
  <c r="J17" i="7"/>
  <c r="J16" i="7"/>
  <c r="J15" i="7"/>
  <c r="J14" i="7"/>
  <c r="J13" i="7"/>
  <c r="J12" i="7"/>
  <c r="J11" i="7"/>
  <c r="J10" i="7"/>
  <c r="J9" i="7"/>
  <c r="J13" i="5"/>
  <c r="J3" i="6"/>
  <c r="J2" i="3"/>
  <c r="J3" i="5"/>
  <c r="J4" i="5"/>
  <c r="J5" i="5"/>
  <c r="J6" i="5"/>
  <c r="J7" i="5"/>
  <c r="J8" i="5"/>
  <c r="J9" i="5"/>
  <c r="J10" i="5"/>
  <c r="J11" i="5"/>
  <c r="J12" i="5"/>
  <c r="J2" i="5"/>
  <c r="J15" i="4"/>
  <c r="J14" i="4"/>
  <c r="J7" i="4"/>
  <c r="J3" i="4"/>
  <c r="J4" i="4"/>
  <c r="J5" i="4"/>
  <c r="J6" i="4"/>
  <c r="J8" i="4"/>
  <c r="J9" i="4"/>
  <c r="J10" i="4"/>
  <c r="J11" i="4"/>
  <c r="J12" i="4"/>
  <c r="J13" i="4"/>
  <c r="J2" i="4"/>
  <c r="J3" i="3"/>
  <c r="J4" i="3"/>
  <c r="J5" i="3"/>
  <c r="J6" i="3"/>
  <c r="J7" i="3"/>
  <c r="J8" i="3"/>
  <c r="J9" i="3"/>
  <c r="J10" i="3"/>
  <c r="J11" i="3"/>
  <c r="J12" i="3"/>
  <c r="J16" i="1"/>
  <c r="J15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J17" i="1"/>
  <c r="J16" i="4"/>
  <c r="J14" i="3"/>
  <c r="D5" i="24"/>
  <c r="D5" i="22"/>
  <c r="D5" i="21"/>
  <c r="D5" i="23"/>
  <c r="D5" i="20"/>
  <c r="D5" i="16"/>
  <c r="D5" i="27"/>
  <c r="J88" i="28" l="1"/>
  <c r="D6" i="28" s="1"/>
  <c r="J104" i="13"/>
  <c r="J91" i="12"/>
  <c r="J93" i="15"/>
  <c r="J88" i="14"/>
</calcChain>
</file>

<file path=xl/sharedStrings.xml><?xml version="1.0" encoding="utf-8"?>
<sst xmlns="http://schemas.openxmlformats.org/spreadsheetml/2006/main" count="6106" uniqueCount="1010">
  <si>
    <t>Work Order Date</t>
  </si>
  <si>
    <t>Work Order Number</t>
  </si>
  <si>
    <t>Tech Name</t>
  </si>
  <si>
    <t>Base Work Order Type</t>
  </si>
  <si>
    <t>Additional Work Performed (Not On Order)</t>
  </si>
  <si>
    <t>Jul 6, 2022</t>
  </si>
  <si>
    <t>NS0062496936</t>
  </si>
  <si>
    <t>Marcus Martin</t>
  </si>
  <si>
    <t>SINGLE PLAY</t>
  </si>
  <si>
    <t>HOOK UP HOME NETWORK</t>
  </si>
  <si>
    <t>HOOK UP EXISTING OUTLET SAME TRIP</t>
  </si>
  <si>
    <t>NS0062497045</t>
  </si>
  <si>
    <t>NS0062497238</t>
  </si>
  <si>
    <t>NS0062497431</t>
  </si>
  <si>
    <t>NS0062496981</t>
  </si>
  <si>
    <t>TRIP CHARGE</t>
  </si>
  <si>
    <t>NS0062498004</t>
  </si>
  <si>
    <t>DOUBLE PLAY MDU</t>
  </si>
  <si>
    <t>NS0062498024</t>
  </si>
  <si>
    <t>NS0062494745</t>
  </si>
  <si>
    <t>Chris Ambler</t>
  </si>
  <si>
    <t>NEW OUTLET INCLUDING BATTERY OUTLET/CAT 5</t>
  </si>
  <si>
    <t>NS0062496846</t>
  </si>
  <si>
    <t>NS0062495907</t>
  </si>
  <si>
    <t>Remington Taylor</t>
  </si>
  <si>
    <t>NS0062497038</t>
  </si>
  <si>
    <t>NS0062497230</t>
  </si>
  <si>
    <t>NS0062497039</t>
  </si>
  <si>
    <t>Job Type</t>
  </si>
  <si>
    <t>Rate</t>
  </si>
  <si>
    <t>TRIPLE PLAY</t>
  </si>
  <si>
    <t>TRIPLE PLAY MDU</t>
  </si>
  <si>
    <t>DOUBLE PLAY</t>
  </si>
  <si>
    <t>SINGLE PLAY MDU</t>
  </si>
  <si>
    <t>NEW OUTLET SET TOP BOX</t>
  </si>
  <si>
    <t>HOOKUP EXISITING OUTLET WITH SET-TOP BOX SAME TRIP</t>
  </si>
  <si>
    <t>WALL-FISH </t>
  </si>
  <si>
    <t>INSTALL NEW OR EXISTING OUTLET SEPARATE TRIP</t>
  </si>
  <si>
    <t>INSTALL NEW OR EXISTING OUTLET SEPARATRE TRIP SET-TOP BOX </t>
  </si>
  <si>
    <t>RETURN SERVICE CALL</t>
  </si>
  <si>
    <t>WHOLE HOUSE INSTALL </t>
  </si>
  <si>
    <t>EMTA CONVERSION INCLUDING SCHEDULING WITH THE CUSTOMER</t>
  </si>
  <si>
    <t>WHOLE HOME CONVERSION</t>
  </si>
  <si>
    <t>Supervisor/Head End Help </t>
  </si>
  <si>
    <t>Replace drop </t>
  </si>
  <si>
    <t>--</t>
  </si>
  <si>
    <t>Jul 5, 2022</t>
  </si>
  <si>
    <t>NS0062497499</t>
  </si>
  <si>
    <t>NS0062497342</t>
  </si>
  <si>
    <t>NS0062497465</t>
  </si>
  <si>
    <t>NS0062496890</t>
  </si>
  <si>
    <t>NS0062497491</t>
  </si>
  <si>
    <t>NS0062497481</t>
  </si>
  <si>
    <t>NS0062496915</t>
  </si>
  <si>
    <t>NS0062494400</t>
  </si>
  <si>
    <t>NS0062496831</t>
  </si>
  <si>
    <t>NS0062496816</t>
  </si>
  <si>
    <t>NS0062497416</t>
  </si>
  <si>
    <t>NS0062496629</t>
  </si>
  <si>
    <t>Jul 7, 2022</t>
  </si>
  <si>
    <t>NS0062497531</t>
  </si>
  <si>
    <t>NS0062497584</t>
  </si>
  <si>
    <t>NS0062497348</t>
  </si>
  <si>
    <t>NS0062495841</t>
  </si>
  <si>
    <t>NS0062496943</t>
  </si>
  <si>
    <t>NS0062498019</t>
  </si>
  <si>
    <t>NS0062493447</t>
  </si>
  <si>
    <t>NS0062497244</t>
  </si>
  <si>
    <t>NS0062497373</t>
  </si>
  <si>
    <t>NS0062497375</t>
  </si>
  <si>
    <t>NS0062497187</t>
  </si>
  <si>
    <t>NS0062498039</t>
  </si>
  <si>
    <t>NS0062495750</t>
  </si>
  <si>
    <t>Jul 8, 2022</t>
  </si>
  <si>
    <t>NS0062497408</t>
  </si>
  <si>
    <t>NS0062498173</t>
  </si>
  <si>
    <t>NS0062496983</t>
  </si>
  <si>
    <t>NS0062498022</t>
  </si>
  <si>
    <t>NS0062497527</t>
  </si>
  <si>
    <t>NS0062498231</t>
  </si>
  <si>
    <t>NS0062496643</t>
  </si>
  <si>
    <t>NS0062496080</t>
  </si>
  <si>
    <t>NS0062498119</t>
  </si>
  <si>
    <t>NS0062485618</t>
  </si>
  <si>
    <t>Jul 9, 2022</t>
  </si>
  <si>
    <t>NS0062496060</t>
  </si>
  <si>
    <t>Caregen Alliance</t>
  </si>
  <si>
    <t>Bill To: Consolidated Communications</t>
  </si>
  <si>
    <t>INVOICE DATE:</t>
  </si>
  <si>
    <t>Attn: Acounts Payable</t>
  </si>
  <si>
    <t>Week Ending:</t>
  </si>
  <si>
    <t>121 South 17th Street</t>
  </si>
  <si>
    <t>INVOICE #:</t>
  </si>
  <si>
    <t>Matoon, IL 61938</t>
  </si>
  <si>
    <t>Type:</t>
  </si>
  <si>
    <t>Installation</t>
  </si>
  <si>
    <t>PO Number:</t>
  </si>
  <si>
    <t>Total</t>
  </si>
  <si>
    <t>Additional (1)</t>
  </si>
  <si>
    <t>Additional (2)</t>
  </si>
  <si>
    <t>Base Work Order</t>
  </si>
  <si>
    <t>NS0062497382</t>
  </si>
  <si>
    <t>NS0062497391</t>
  </si>
  <si>
    <t>Row Labels</t>
  </si>
  <si>
    <t>Grand Total</t>
  </si>
  <si>
    <t>Sum of Base Work Order</t>
  </si>
  <si>
    <t>Sum of Additional (1)</t>
  </si>
  <si>
    <t>Sum of Additional (2)</t>
  </si>
  <si>
    <t>Sum of Total</t>
  </si>
  <si>
    <t xml:space="preserve">Grand Total </t>
  </si>
  <si>
    <t>NS0062495836</t>
  </si>
  <si>
    <t>NS0062501327</t>
  </si>
  <si>
    <t>NS0062501323</t>
  </si>
  <si>
    <t>NS0062501278</t>
  </si>
  <si>
    <t>NS0062501230</t>
  </si>
  <si>
    <t>NS0062501207</t>
  </si>
  <si>
    <t>NS0062501201</t>
  </si>
  <si>
    <t>NS0062501101</t>
  </si>
  <si>
    <t>NS0062501081</t>
  </si>
  <si>
    <t>NS0062501076</t>
  </si>
  <si>
    <t>NS0062501071</t>
  </si>
  <si>
    <t>NS0062501067</t>
  </si>
  <si>
    <t>NS0062501065</t>
  </si>
  <si>
    <t>NS0062500724</t>
  </si>
  <si>
    <t>NS0062500722</t>
  </si>
  <si>
    <t>NS0062500721</t>
  </si>
  <si>
    <t>NS0062500718</t>
  </si>
  <si>
    <t>NS0062500713</t>
  </si>
  <si>
    <t>NS0062500700</t>
  </si>
  <si>
    <t>NS0062500684</t>
  </si>
  <si>
    <t>NS0062500671</t>
  </si>
  <si>
    <t>NS0062500666</t>
  </si>
  <si>
    <t>NS0062500599</t>
  </si>
  <si>
    <t>NS0062500549</t>
  </si>
  <si>
    <t>NS0062500535</t>
  </si>
  <si>
    <t>NS0062500527</t>
  </si>
  <si>
    <t>NS0062500525</t>
  </si>
  <si>
    <t>NS0062500522</t>
  </si>
  <si>
    <t>NS0062500507</t>
  </si>
  <si>
    <t>NS0062500506</t>
  </si>
  <si>
    <t>NS0062500504</t>
  </si>
  <si>
    <t>NS0062500497</t>
  </si>
  <si>
    <t>NS0062500488</t>
  </si>
  <si>
    <t>NS0062500479</t>
  </si>
  <si>
    <t>NS0062500467</t>
  </si>
  <si>
    <t>NS0062500451</t>
  </si>
  <si>
    <t>NS0062500449</t>
  </si>
  <si>
    <t>NS0062500448</t>
  </si>
  <si>
    <t>NS0062500382</t>
  </si>
  <si>
    <t>NS0062500367</t>
  </si>
  <si>
    <t>NS0062500341</t>
  </si>
  <si>
    <t>NS0062500337</t>
  </si>
  <si>
    <t>NS0062500329</t>
  </si>
  <si>
    <t>NS0062500072</t>
  </si>
  <si>
    <t>NS0062500065</t>
  </si>
  <si>
    <t>NS0062500047</t>
  </si>
  <si>
    <t>NS0062498576</t>
  </si>
  <si>
    <t>NS0062498269</t>
  </si>
  <si>
    <t>NS0062498206</t>
  </si>
  <si>
    <t>NS0062498200</t>
  </si>
  <si>
    <t>NS0062498196</t>
  </si>
  <si>
    <t>NS0062498192</t>
  </si>
  <si>
    <t>NS0062498145</t>
  </si>
  <si>
    <t>NS0062498133</t>
  </si>
  <si>
    <t>NS0062498045</t>
  </si>
  <si>
    <t>NS0062498029</t>
  </si>
  <si>
    <t>NS0062498023</t>
  </si>
  <si>
    <t>NS0062498017</t>
  </si>
  <si>
    <t>NS0062498015</t>
  </si>
  <si>
    <t>NS0062498002</t>
  </si>
  <si>
    <t>NS0062497996</t>
  </si>
  <si>
    <t>NS0062497995</t>
  </si>
  <si>
    <t>NS0062497640</t>
  </si>
  <si>
    <t>NS0062497639</t>
  </si>
  <si>
    <t>NS0062497597</t>
  </si>
  <si>
    <t>NS0062497595</t>
  </si>
  <si>
    <t>NS0062497580</t>
  </si>
  <si>
    <t>NS0062497572</t>
  </si>
  <si>
    <t>NS0062497569</t>
  </si>
  <si>
    <t>NS0062497565</t>
  </si>
  <si>
    <t>NS0062497532</t>
  </si>
  <si>
    <t>NS0062497477</t>
  </si>
  <si>
    <t>NS0062497191</t>
  </si>
  <si>
    <t>NS0062497041</t>
  </si>
  <si>
    <t>NS0062496984</t>
  </si>
  <si>
    <t>NS0062496942</t>
  </si>
  <si>
    <t>NS0062496908</t>
  </si>
  <si>
    <t>NS0062496727</t>
  </si>
  <si>
    <t>NS0062496553</t>
  </si>
  <si>
    <t>NS0062495789</t>
  </si>
  <si>
    <t>NS0062493337</t>
  </si>
  <si>
    <t>NS0062496719</t>
  </si>
  <si>
    <t>NS0062497035</t>
  </si>
  <si>
    <t>NS0062497489</t>
  </si>
  <si>
    <t>NS0062498129</t>
  </si>
  <si>
    <t>NS0062500028</t>
  </si>
  <si>
    <t>NS0062500066</t>
  </si>
  <si>
    <t>NS0062500379</t>
  </si>
  <si>
    <t>NS0062500704</t>
  </si>
  <si>
    <t>NS0062501080</t>
  </si>
  <si>
    <t>NS0062501170</t>
  </si>
  <si>
    <t>NS0062501337</t>
  </si>
  <si>
    <t>NS0062501338</t>
  </si>
  <si>
    <t>NS0062501344</t>
  </si>
  <si>
    <t>NS0062501388</t>
  </si>
  <si>
    <t>NS0062501443</t>
  </si>
  <si>
    <t>NS0062501754</t>
  </si>
  <si>
    <t>NS0062501761</t>
  </si>
  <si>
    <t>NS0062501771</t>
  </si>
  <si>
    <t>NS0062501794</t>
  </si>
  <si>
    <t>NS0062501795</t>
  </si>
  <si>
    <t>NS0062501802</t>
  </si>
  <si>
    <t>NS0062501847</t>
  </si>
  <si>
    <t>NS0062501869</t>
  </si>
  <si>
    <t>NS0062501881</t>
  </si>
  <si>
    <t>NS0062501890</t>
  </si>
  <si>
    <t>NS0062502024</t>
  </si>
  <si>
    <t>NS0062502047</t>
  </si>
  <si>
    <t>NS0062502282</t>
  </si>
  <si>
    <t>NS0062502323</t>
  </si>
  <si>
    <t>NS0062502382</t>
  </si>
  <si>
    <t>NS0062502385</t>
  </si>
  <si>
    <t>NS0062502400</t>
  </si>
  <si>
    <t>NS0062502420</t>
  </si>
  <si>
    <t>NS0062502423</t>
  </si>
  <si>
    <t>NS0062502430</t>
  </si>
  <si>
    <t>NS0062502444</t>
  </si>
  <si>
    <t>NS0062502459</t>
  </si>
  <si>
    <t>NS0062502476</t>
  </si>
  <si>
    <t>NS0062502499</t>
  </si>
  <si>
    <t>NS0062502501</t>
  </si>
  <si>
    <t>NS0062502522</t>
  </si>
  <si>
    <t>NS0062502523</t>
  </si>
  <si>
    <t>NS0062502524</t>
  </si>
  <si>
    <t>NS0062502660</t>
  </si>
  <si>
    <t>NS0062502664</t>
  </si>
  <si>
    <t>NS0062502665</t>
  </si>
  <si>
    <t>NS0062503136</t>
  </si>
  <si>
    <t>NS0062503140</t>
  </si>
  <si>
    <t>NS0062503154</t>
  </si>
  <si>
    <t>NS0062503217</t>
  </si>
  <si>
    <t>NS0062503222</t>
  </si>
  <si>
    <t>NS0062503233</t>
  </si>
  <si>
    <t>NS0062503419</t>
  </si>
  <si>
    <t>NS0062503428</t>
  </si>
  <si>
    <t>NS0062503511</t>
  </si>
  <si>
    <t>NS0062503557</t>
  </si>
  <si>
    <t>NS0062503558</t>
  </si>
  <si>
    <t>NS0062503560</t>
  </si>
  <si>
    <t>NS0062503778</t>
  </si>
  <si>
    <t>NS0062503783</t>
  </si>
  <si>
    <t>NS0062503800</t>
  </si>
  <si>
    <t>NS0062503808</t>
  </si>
  <si>
    <t>NS0062503809</t>
  </si>
  <si>
    <t>NS0062503825</t>
  </si>
  <si>
    <t>NS0062503828</t>
  </si>
  <si>
    <t>NS0062503831</t>
  </si>
  <si>
    <t>NS0062503846</t>
  </si>
  <si>
    <t>NS0062503847</t>
  </si>
  <si>
    <t>NS0062505609</t>
  </si>
  <si>
    <t>NS0062505611</t>
  </si>
  <si>
    <t>NS0062505726</t>
  </si>
  <si>
    <t>NS0062505731</t>
  </si>
  <si>
    <t>NS0062505750</t>
  </si>
  <si>
    <t>NS0062505759</t>
  </si>
  <si>
    <t>NS0062505893</t>
  </si>
  <si>
    <t>NS0062506021</t>
  </si>
  <si>
    <t>NS0062506035</t>
  </si>
  <si>
    <t>NS0062506094</t>
  </si>
  <si>
    <t xml:space="preserve">	NS0062500652</t>
  </si>
  <si>
    <t xml:space="preserve">	NS0062500775</t>
  </si>
  <si>
    <t xml:space="preserve">	NS0062501230</t>
  </si>
  <si>
    <t xml:space="preserve">	NS0062501353</t>
  </si>
  <si>
    <t xml:space="preserve">	NS0062501357</t>
  </si>
  <si>
    <t>NS0062495992</t>
  </si>
  <si>
    <t>NS0062496016</t>
  </si>
  <si>
    <t>NS0062496694</t>
  </si>
  <si>
    <t>NS0062497393</t>
  </si>
  <si>
    <t>NS0062497456</t>
  </si>
  <si>
    <t>NS0062498046</t>
  </si>
  <si>
    <t>NS0062498149</t>
  </si>
  <si>
    <t>NS0062498247</t>
  </si>
  <si>
    <t>NS0062498252</t>
  </si>
  <si>
    <t>NS0062500096</t>
  </si>
  <si>
    <t>NS0062500103</t>
  </si>
  <si>
    <t>NS0062500472</t>
  </si>
  <si>
    <t>NS0062500486</t>
  </si>
  <si>
    <t>NS0062500509</t>
  </si>
  <si>
    <t>NS0062500510</t>
  </si>
  <si>
    <t>NS0062500550</t>
  </si>
  <si>
    <t>NS0062500610</t>
  </si>
  <si>
    <t>NS0062500644</t>
  </si>
  <si>
    <t>NS0062500678</t>
  </si>
  <si>
    <t>NS0062500699</t>
  </si>
  <si>
    <t>NS0062500707</t>
  </si>
  <si>
    <t>NS0062500711</t>
  </si>
  <si>
    <t>NS0062500723</t>
  </si>
  <si>
    <t>NS0062500743</t>
  </si>
  <si>
    <t>NS0062500745</t>
  </si>
  <si>
    <t>NS0062500749</t>
  </si>
  <si>
    <t>NS0062500778</t>
  </si>
  <si>
    <t>NS0062500787</t>
  </si>
  <si>
    <t>NS0062500824</t>
  </si>
  <si>
    <t>NS0062500825</t>
  </si>
  <si>
    <t>NS0062500829</t>
  </si>
  <si>
    <t>NS0062500836</t>
  </si>
  <si>
    <t>NS0062501048</t>
  </si>
  <si>
    <t>NS0062501056</t>
  </si>
  <si>
    <t>Ns0062501073</t>
  </si>
  <si>
    <t>NS0062501074</t>
  </si>
  <si>
    <t>NS0062501084</t>
  </si>
  <si>
    <t>NS0062501087</t>
  </si>
  <si>
    <t>NS0062501174</t>
  </si>
  <si>
    <t>NS0062501211</t>
  </si>
  <si>
    <t>NS0062501241</t>
  </si>
  <si>
    <t>NS0062501242</t>
  </si>
  <si>
    <t>NS0062501293</t>
  </si>
  <si>
    <t>NS0062501297</t>
  </si>
  <si>
    <t>NS0062501301</t>
  </si>
  <si>
    <t>NS0062501365</t>
  </si>
  <si>
    <t>NS0062501378</t>
  </si>
  <si>
    <t>NS0062501382</t>
  </si>
  <si>
    <t>NS0062501385</t>
  </si>
  <si>
    <t>NS0062501390</t>
  </si>
  <si>
    <t>NS0062501419</t>
  </si>
  <si>
    <t>NS0062501422</t>
  </si>
  <si>
    <t>NS0062501424</t>
  </si>
  <si>
    <t>NS0062501442</t>
  </si>
  <si>
    <t>NS0062501558</t>
  </si>
  <si>
    <t>NS0062501642</t>
  </si>
  <si>
    <t>NS0062501759</t>
  </si>
  <si>
    <t>NS0062501792</t>
  </si>
  <si>
    <t>NS0062501812</t>
  </si>
  <si>
    <t>NS0062501822</t>
  </si>
  <si>
    <t>NS0062501832</t>
  </si>
  <si>
    <t>NS0062501842</t>
  </si>
  <si>
    <t>NS0062501852</t>
  </si>
  <si>
    <t>NS0062501878</t>
  </si>
  <si>
    <t>NS0062501898</t>
  </si>
  <si>
    <t>NS0062501903</t>
  </si>
  <si>
    <t>NS0062501906</t>
  </si>
  <si>
    <t>NS0062501911</t>
  </si>
  <si>
    <t>NS0062502030</t>
  </si>
  <si>
    <t>NS0062502032</t>
  </si>
  <si>
    <t>NS0062502036</t>
  </si>
  <si>
    <t>NS0062502285</t>
  </si>
  <si>
    <t>NS0062502288</t>
  </si>
  <si>
    <t>NS0062502294</t>
  </si>
  <si>
    <t>NS0062502305</t>
  </si>
  <si>
    <t>NS0062502317</t>
  </si>
  <si>
    <t>NS0062502324</t>
  </si>
  <si>
    <t>NS0062502327</t>
  </si>
  <si>
    <t>NS0062502342</t>
  </si>
  <si>
    <t>NS0062502369</t>
  </si>
  <si>
    <t>NS0062502433</t>
  </si>
  <si>
    <t>NS0062502457</t>
  </si>
  <si>
    <t>NS0062502486</t>
  </si>
  <si>
    <t>NS0062502663</t>
  </si>
  <si>
    <t>NS0062503133</t>
  </si>
  <si>
    <t>NS0062503226</t>
  </si>
  <si>
    <t>Jul 11, 2022</t>
  </si>
  <si>
    <t>Derick Martin</t>
  </si>
  <si>
    <t>Jul 12, 2022</t>
  </si>
  <si>
    <t>Single Play</t>
  </si>
  <si>
    <t>Single Play MDU</t>
  </si>
  <si>
    <t>Derrick Martin</t>
  </si>
  <si>
    <t>Whole Home Conversion</t>
  </si>
  <si>
    <t>Triple Play MDU</t>
  </si>
  <si>
    <t>Jul 13, 2022</t>
  </si>
  <si>
    <t>Trip Charge</t>
  </si>
  <si>
    <t>Double Play MDU</t>
  </si>
  <si>
    <t>Jul 14, 2022</t>
  </si>
  <si>
    <t>Jul 15, 2022</t>
  </si>
  <si>
    <t>Double Play</t>
  </si>
  <si>
    <t>Jul 16, 2022</t>
  </si>
  <si>
    <t xml:space="preserve"> </t>
  </si>
  <si>
    <t>Jul 18, 2022</t>
  </si>
  <si>
    <t>Jul 19, 2022</t>
  </si>
  <si>
    <t>Jul 20, 2022</t>
  </si>
  <si>
    <t>DOUBLE PLAYMDU</t>
  </si>
  <si>
    <t>Jul 21, 2022</t>
  </si>
  <si>
    <t>Jul 22, 2022</t>
  </si>
  <si>
    <t>Jul 23, 2022</t>
  </si>
  <si>
    <t>Jul 25, 2022</t>
  </si>
  <si>
    <t>CONNECTED HOME NETWORK</t>
  </si>
  <si>
    <t>kevin Jackson</t>
  </si>
  <si>
    <t>Jul 26, 2022</t>
  </si>
  <si>
    <t>EMTA CONVERSION INCLUDING SCHEDULING</t>
  </si>
  <si>
    <t>Jul 27, 2022</t>
  </si>
  <si>
    <t>Jul 28, 2022</t>
  </si>
  <si>
    <t>Jul 29, 2022</t>
  </si>
  <si>
    <t>Jul 30, 2022</t>
  </si>
  <si>
    <t>NS0062503720</t>
  </si>
  <si>
    <t>NS0062503417</t>
  </si>
  <si>
    <t>NS0062497413</t>
  </si>
  <si>
    <t>NS0062502659</t>
  </si>
  <si>
    <t>NS0062503855</t>
  </si>
  <si>
    <t>NS0062503853</t>
  </si>
  <si>
    <t>NS0062503811</t>
  </si>
  <si>
    <t>NS0062500037</t>
  </si>
  <si>
    <t>NS0062506002</t>
  </si>
  <si>
    <t>NS0062503740</t>
  </si>
  <si>
    <t>NS0062505684</t>
  </si>
  <si>
    <t>NS0062503236</t>
  </si>
  <si>
    <t>NS0062506400</t>
  </si>
  <si>
    <t>NS0062502487</t>
  </si>
  <si>
    <t>NS0062505665</t>
  </si>
  <si>
    <t>NS0062505642</t>
  </si>
  <si>
    <t>NS0062505645</t>
  </si>
  <si>
    <t>NS0062502375</t>
  </si>
  <si>
    <t xml:space="preserve">SINGLE PLAY </t>
  </si>
  <si>
    <t>NS0062506122</t>
  </si>
  <si>
    <t>NS0062506114</t>
  </si>
  <si>
    <t>NS0062505710</t>
  </si>
  <si>
    <t>NS0062506411</t>
  </si>
  <si>
    <t>NS0062503819</t>
  </si>
  <si>
    <t>NS0062506131</t>
  </si>
  <si>
    <t>NS0062497460</t>
  </si>
  <si>
    <t>NS0062506022</t>
  </si>
  <si>
    <t>NS0062505875</t>
  </si>
  <si>
    <t>NS0062505626</t>
  </si>
  <si>
    <t>NS0062506109</t>
  </si>
  <si>
    <t>NS0062505706</t>
  </si>
  <si>
    <t>NS0062501786</t>
  </si>
  <si>
    <t>NS0062505666</t>
  </si>
  <si>
    <t>NS0062500436</t>
  </si>
  <si>
    <t>NS0062506676</t>
  </si>
  <si>
    <t>NS0062505622</t>
  </si>
  <si>
    <t>NS0062505628</t>
  </si>
  <si>
    <t>NS0062506086</t>
  </si>
  <si>
    <t>NS0062506669</t>
  </si>
  <si>
    <t>NS0062505637</t>
  </si>
  <si>
    <t>NS0062505738</t>
  </si>
  <si>
    <t>NS0062503406</t>
  </si>
  <si>
    <t>NS0062505877</t>
  </si>
  <si>
    <t>NS0062506081</t>
  </si>
  <si>
    <t>NS0062503144</t>
  </si>
  <si>
    <t>NS0062506449</t>
  </si>
  <si>
    <t>NS0062506867</t>
  </si>
  <si>
    <t>NS0062506758</t>
  </si>
  <si>
    <t>NS0062506864</t>
  </si>
  <si>
    <t>NS0062503790</t>
  </si>
  <si>
    <t>NS0062506524</t>
  </si>
  <si>
    <t>NS0062506713</t>
  </si>
  <si>
    <t>NS0062505769</t>
  </si>
  <si>
    <t>NS0062505717</t>
  </si>
  <si>
    <t>NS0062506568</t>
  </si>
  <si>
    <t>NS0062506138</t>
  </si>
  <si>
    <t>NS0062505992</t>
  </si>
  <si>
    <t>NS0062503821</t>
  </si>
  <si>
    <t>NS0062506659</t>
  </si>
  <si>
    <t>NS0062506427</t>
  </si>
  <si>
    <t>NS0062506388</t>
  </si>
  <si>
    <t>NS0062506538</t>
  </si>
  <si>
    <t>NS0062506866</t>
  </si>
  <si>
    <t>NS0062506878</t>
  </si>
  <si>
    <t>NS0062506881</t>
  </si>
  <si>
    <t>NS0062506874</t>
  </si>
  <si>
    <t>NS0062506873</t>
  </si>
  <si>
    <t>NS0062506872</t>
  </si>
  <si>
    <t>NS0062505866</t>
  </si>
  <si>
    <t>NS0062505720</t>
  </si>
  <si>
    <t>NS0062506706</t>
  </si>
  <si>
    <t>NS0062506910</t>
  </si>
  <si>
    <t>NS0062506931</t>
  </si>
  <si>
    <t>NS0062505757</t>
  </si>
  <si>
    <t>NS0062506452</t>
  </si>
  <si>
    <t>NS0062506442</t>
  </si>
  <si>
    <t>NS0062506704</t>
  </si>
  <si>
    <t>NS0062506509</t>
  </si>
  <si>
    <t>NS0062507037</t>
  </si>
  <si>
    <t>NS0062506565</t>
  </si>
  <si>
    <t>NS0062506875</t>
  </si>
  <si>
    <t>NS0062506765</t>
  </si>
  <si>
    <t>NS0062506417</t>
  </si>
  <si>
    <t>NS0062506861</t>
  </si>
  <si>
    <t>EMTA Conversion</t>
  </si>
  <si>
    <t>NS0062498228</t>
  </si>
  <si>
    <t>NS0062473980</t>
  </si>
  <si>
    <t>NS0062500779</t>
  </si>
  <si>
    <t>NS0062501157</t>
  </si>
  <si>
    <t>NS0062501251</t>
  </si>
  <si>
    <t>NS0062503719</t>
  </si>
  <si>
    <t>NS0062503850</t>
  </si>
  <si>
    <t>NS0062505615</t>
  </si>
  <si>
    <t>NS0062505850</t>
  </si>
  <si>
    <t>NS0062505870</t>
  </si>
  <si>
    <t>NS0062505889</t>
  </si>
  <si>
    <t>NS0062506055</t>
  </si>
  <si>
    <t>NS0062506447</t>
  </si>
  <si>
    <t>NS0062506479</t>
  </si>
  <si>
    <t>NS0062506576</t>
  </si>
  <si>
    <t>NS0062506580</t>
  </si>
  <si>
    <t>NS0062506583</t>
  </si>
  <si>
    <t>NS0062506588</t>
  </si>
  <si>
    <t>NS0062506595</t>
  </si>
  <si>
    <t>NS0062506602</t>
  </si>
  <si>
    <t>NS0062506607</t>
  </si>
  <si>
    <t>NS0062506610</t>
  </si>
  <si>
    <t>NS0062506658</t>
  </si>
  <si>
    <t>NS0062506666</t>
  </si>
  <si>
    <t>NS0062506694</t>
  </si>
  <si>
    <t>NS0062506715</t>
  </si>
  <si>
    <t>NS0062506727</t>
  </si>
  <si>
    <t>NS0062506735</t>
  </si>
  <si>
    <t>NS0062506751</t>
  </si>
  <si>
    <t>NS0062506761</t>
  </si>
  <si>
    <t>NS0062506808</t>
  </si>
  <si>
    <t>NS0062506822</t>
  </si>
  <si>
    <t>NS0062506842</t>
  </si>
  <si>
    <t>Ns0062506858</t>
  </si>
  <si>
    <t>NS0062506865</t>
  </si>
  <si>
    <t>NS0062506900</t>
  </si>
  <si>
    <t>NS0062506918</t>
  </si>
  <si>
    <t>NS0062506929</t>
  </si>
  <si>
    <t>NS0062506948</t>
  </si>
  <si>
    <t>NS0062506956</t>
  </si>
  <si>
    <t>NS0062506958</t>
  </si>
  <si>
    <t>NS0062506978</t>
  </si>
  <si>
    <t>NS0062506980</t>
  </si>
  <si>
    <t>NS0062506981</t>
  </si>
  <si>
    <t>NS0062506986</t>
  </si>
  <si>
    <t>NS0062507003</t>
  </si>
  <si>
    <t>NS0062507028</t>
  </si>
  <si>
    <t>NS0062507042</t>
  </si>
  <si>
    <t>NS0062507071</t>
  </si>
  <si>
    <t>NS0062507173</t>
  </si>
  <si>
    <t>NS0062507195</t>
  </si>
  <si>
    <t>NS0062507236</t>
  </si>
  <si>
    <t>NS0062507252</t>
  </si>
  <si>
    <t>NS0062507253</t>
  </si>
  <si>
    <t>NS0062507260</t>
  </si>
  <si>
    <t>NS0062507261</t>
  </si>
  <si>
    <t>NS0062507295</t>
  </si>
  <si>
    <t>NS0062507319</t>
  </si>
  <si>
    <t>NS0062507458</t>
  </si>
  <si>
    <t>NS0062507468</t>
  </si>
  <si>
    <t>NS0062507474</t>
  </si>
  <si>
    <t>NS0062507476</t>
  </si>
  <si>
    <t>NS0062507502</t>
  </si>
  <si>
    <t>NS0062507504</t>
  </si>
  <si>
    <t>NS0062507510</t>
  </si>
  <si>
    <t>NS0062507515</t>
  </si>
  <si>
    <t>NS0062507662</t>
  </si>
  <si>
    <t>NS0062507733</t>
  </si>
  <si>
    <t>NS0062507738</t>
  </si>
  <si>
    <t>NS0062507743</t>
  </si>
  <si>
    <t>NS0062507772</t>
  </si>
  <si>
    <t>NS0062508025</t>
  </si>
  <si>
    <t>NS0062508034</t>
  </si>
  <si>
    <t>NS0062508154</t>
  </si>
  <si>
    <t>NS0063507781</t>
  </si>
  <si>
    <t>NS0062507084</t>
  </si>
  <si>
    <t>NS0062498214</t>
  </si>
  <si>
    <t>NS0062506857</t>
  </si>
  <si>
    <t>DERRICK MARTIN</t>
  </si>
  <si>
    <t>Aug 8, 2022</t>
  </si>
  <si>
    <t>Aug 9, 2022</t>
  </si>
  <si>
    <t>Aug 10, 2022</t>
  </si>
  <si>
    <t>Aug 11, 2022</t>
  </si>
  <si>
    <t>Aug 12, 2022</t>
  </si>
  <si>
    <t>MARCUS MARTIN</t>
  </si>
  <si>
    <t>Aug 13, 2022</t>
  </si>
  <si>
    <t>Emta Conversion</t>
  </si>
  <si>
    <t>41-46=$61655</t>
  </si>
  <si>
    <t xml:space="preserve">	NS0062506587</t>
  </si>
  <si>
    <t xml:space="preserve">	NS0062507296</t>
  </si>
  <si>
    <t xml:space="preserve">	NS0062507720</t>
  </si>
  <si>
    <t xml:space="preserve">	NS0062507766</t>
  </si>
  <si>
    <t xml:space="preserve">	NS0062508066</t>
  </si>
  <si>
    <t xml:space="preserve">	NS0062508360</t>
  </si>
  <si>
    <t xml:space="preserve">	NS0062508554</t>
  </si>
  <si>
    <t>NS0062502289</t>
  </si>
  <si>
    <t>NS0062502312</t>
  </si>
  <si>
    <t>NS0062502388</t>
  </si>
  <si>
    <t>NS0062506108</t>
  </si>
  <si>
    <t>NS0062507025</t>
  </si>
  <si>
    <t>NS0062507070</t>
  </si>
  <si>
    <t>NS0062507072</t>
  </si>
  <si>
    <t>NS0062507073</t>
  </si>
  <si>
    <t>NS0062507160</t>
  </si>
  <si>
    <t>NS0062507194</t>
  </si>
  <si>
    <t>NS0062507221</t>
  </si>
  <si>
    <t>NS0062507229</t>
  </si>
  <si>
    <t>NS0062507258</t>
  </si>
  <si>
    <t>NS0062507259</t>
  </si>
  <si>
    <t>NS0062507275</t>
  </si>
  <si>
    <t>NS0062507279</t>
  </si>
  <si>
    <t>NS0062507287</t>
  </si>
  <si>
    <t>NS0062507469</t>
  </si>
  <si>
    <t>NS0062507481</t>
  </si>
  <si>
    <t>NS0062507489</t>
  </si>
  <si>
    <t>NS0062507490</t>
  </si>
  <si>
    <t>NS0062507495</t>
  </si>
  <si>
    <t>NS0062507497</t>
  </si>
  <si>
    <t>NS0062507499</t>
  </si>
  <si>
    <t>NS0062507509</t>
  </si>
  <si>
    <t>NS0062507519</t>
  </si>
  <si>
    <t>NS0062507520</t>
  </si>
  <si>
    <t>NS0062507521</t>
  </si>
  <si>
    <t>NS0062507525</t>
  </si>
  <si>
    <t>NS0062507550</t>
  </si>
  <si>
    <t>NS0062507648</t>
  </si>
  <si>
    <t>NS0062507649</t>
  </si>
  <si>
    <t>NS0062507672</t>
  </si>
  <si>
    <t>NS0062507716</t>
  </si>
  <si>
    <t>NS0062507739</t>
  </si>
  <si>
    <t>NS0062507740</t>
  </si>
  <si>
    <t>NS0062507749</t>
  </si>
  <si>
    <t>NS0062507767</t>
  </si>
  <si>
    <t>NS0062507778</t>
  </si>
  <si>
    <t>NS0062507784</t>
  </si>
  <si>
    <t>NS0062507787</t>
  </si>
  <si>
    <t>NS0062507790</t>
  </si>
  <si>
    <t>NS0062507795</t>
  </si>
  <si>
    <t>NS0062507796</t>
  </si>
  <si>
    <t>NS0062507797</t>
  </si>
  <si>
    <t>NS0062507800</t>
  </si>
  <si>
    <t>NS0062507814</t>
  </si>
  <si>
    <t>NS0062507931</t>
  </si>
  <si>
    <t>NS0062507941</t>
  </si>
  <si>
    <t>NS0062507952</t>
  </si>
  <si>
    <t>NS0062507967</t>
  </si>
  <si>
    <t>NS0062507972</t>
  </si>
  <si>
    <t>NS0062508002</t>
  </si>
  <si>
    <t>NS0062508016</t>
  </si>
  <si>
    <t>NS0062508022</t>
  </si>
  <si>
    <t>NS0062508023</t>
  </si>
  <si>
    <t>NS0062508026</t>
  </si>
  <si>
    <t>NS0062508031</t>
  </si>
  <si>
    <t>NS0062508035</t>
  </si>
  <si>
    <t>NS0062508047</t>
  </si>
  <si>
    <t>NS0062508054</t>
  </si>
  <si>
    <t>NS0062508057</t>
  </si>
  <si>
    <t>NS0062508066</t>
  </si>
  <si>
    <t>NS0062508094</t>
  </si>
  <si>
    <t>NS0062508109</t>
  </si>
  <si>
    <t>NS0062508116</t>
  </si>
  <si>
    <t>NS0062508128</t>
  </si>
  <si>
    <t>NS0062508133</t>
  </si>
  <si>
    <t>NS0062508134</t>
  </si>
  <si>
    <t>NS0062508140</t>
  </si>
  <si>
    <t>NS0062508158</t>
  </si>
  <si>
    <t>NS0062508159</t>
  </si>
  <si>
    <t>NS0062508160</t>
  </si>
  <si>
    <t>NS0062508165</t>
  </si>
  <si>
    <t>NS0062508171</t>
  </si>
  <si>
    <t>NS0062508176</t>
  </si>
  <si>
    <t>NS0062508202</t>
  </si>
  <si>
    <t>NS0062508206</t>
  </si>
  <si>
    <t>NS0062508207</t>
  </si>
  <si>
    <t>NS0062508208</t>
  </si>
  <si>
    <t>NS0062508216</t>
  </si>
  <si>
    <t>NS0062508217</t>
  </si>
  <si>
    <t>NS0062508219</t>
  </si>
  <si>
    <t>NS0062508253</t>
  </si>
  <si>
    <t>NS0062508256</t>
  </si>
  <si>
    <t>NS0062508258</t>
  </si>
  <si>
    <t>NS0062508321</t>
  </si>
  <si>
    <t>NS0062508352</t>
  </si>
  <si>
    <t>NS0062508363</t>
  </si>
  <si>
    <t>NS0062508365</t>
  </si>
  <si>
    <t>NS0062508382</t>
  </si>
  <si>
    <t>NS0062508384</t>
  </si>
  <si>
    <t>NS0062508389</t>
  </si>
  <si>
    <t>NS0062508408</t>
  </si>
  <si>
    <t>NS0062508429</t>
  </si>
  <si>
    <t>NS0062508485</t>
  </si>
  <si>
    <t>NS0062508506</t>
  </si>
  <si>
    <t>NS0062508540</t>
  </si>
  <si>
    <t>NS0062508545</t>
  </si>
  <si>
    <t>NS0062508551</t>
  </si>
  <si>
    <t>NS0062508557</t>
  </si>
  <si>
    <t>NS0062508560</t>
  </si>
  <si>
    <t>NS0062508616</t>
  </si>
  <si>
    <t>NS0062508617</t>
  </si>
  <si>
    <t>NS0062508632</t>
  </si>
  <si>
    <t>NS0062508758</t>
  </si>
  <si>
    <t>NS0062508792</t>
  </si>
  <si>
    <t>NS0062508794</t>
  </si>
  <si>
    <t>NS0062508802</t>
  </si>
  <si>
    <t>NS0062508846</t>
  </si>
  <si>
    <t>NS0062508880</t>
  </si>
  <si>
    <t>NS0062508886</t>
  </si>
  <si>
    <t>NS0062508904</t>
  </si>
  <si>
    <t>NS0062508928</t>
  </si>
  <si>
    <t xml:space="preserve">	NS0062506976</t>
  </si>
  <si>
    <t xml:space="preserve">	NS0062507674</t>
  </si>
  <si>
    <t xml:space="preserve">	NS0062507967</t>
  </si>
  <si>
    <t xml:space="preserve">	NS0062508216</t>
  </si>
  <si>
    <t xml:space="preserve">	NS0062509011</t>
  </si>
  <si>
    <t xml:space="preserve">	NS0062509390</t>
  </si>
  <si>
    <t xml:space="preserve">	NS0062509396</t>
  </si>
  <si>
    <t xml:space="preserve">	NS0062509474</t>
  </si>
  <si>
    <t xml:space="preserve">	NS0062509537</t>
  </si>
  <si>
    <t xml:space="preserve">	NS0062509546</t>
  </si>
  <si>
    <t xml:space="preserve">	NS0062509566</t>
  </si>
  <si>
    <t>NS0062506651</t>
  </si>
  <si>
    <t>NS0062506847</t>
  </si>
  <si>
    <t>NS0062506876</t>
  </si>
  <si>
    <t>NS0062506942</t>
  </si>
  <si>
    <t>NS0062506951</t>
  </si>
  <si>
    <t>NS0062507465</t>
  </si>
  <si>
    <t>NS0062507477</t>
  </si>
  <si>
    <t>NS0062507505</t>
  </si>
  <si>
    <t>NS0062507717</t>
  </si>
  <si>
    <t>NS0062507777</t>
  </si>
  <si>
    <t>NS0062507779</t>
  </si>
  <si>
    <t>NS0062507782</t>
  </si>
  <si>
    <t>NS0062507785</t>
  </si>
  <si>
    <t>NS0062507793</t>
  </si>
  <si>
    <t>NS0062507909</t>
  </si>
  <si>
    <t>NS0062508058</t>
  </si>
  <si>
    <t>NS0062508083</t>
  </si>
  <si>
    <t>NS0062508107</t>
  </si>
  <si>
    <t>NS0062508151</t>
  </si>
  <si>
    <t>NS0062508204</t>
  </si>
  <si>
    <t>NS0062508213</t>
  </si>
  <si>
    <t>NS0062508218</t>
  </si>
  <si>
    <t>NS0062508221</t>
  </si>
  <si>
    <t>NS0062508222</t>
  </si>
  <si>
    <t>NS0062508223</t>
  </si>
  <si>
    <t>NS0062508224</t>
  </si>
  <si>
    <t>NS0062508244</t>
  </si>
  <si>
    <t>NS0062508257</t>
  </si>
  <si>
    <t>NS0062508340</t>
  </si>
  <si>
    <t>NS0062508353</t>
  </si>
  <si>
    <t>NS0062508357</t>
  </si>
  <si>
    <t>NS0062508361</t>
  </si>
  <si>
    <t>NS0062508380</t>
  </si>
  <si>
    <t>NS0062508392</t>
  </si>
  <si>
    <t>NS0062508395</t>
  </si>
  <si>
    <t>NS0062508398</t>
  </si>
  <si>
    <t>NS0062508427</t>
  </si>
  <si>
    <t>NS0062508470</t>
  </si>
  <si>
    <t>NS0062508497</t>
  </si>
  <si>
    <t>NS0062508500</t>
  </si>
  <si>
    <t>NS0062508515</t>
  </si>
  <si>
    <t>NS0062508519</t>
  </si>
  <si>
    <t>NS0062508537</t>
  </si>
  <si>
    <t>NS0062508555</t>
  </si>
  <si>
    <t>NS0062508562</t>
  </si>
  <si>
    <t>NS0062508619</t>
  </si>
  <si>
    <t>NS0062508633</t>
  </si>
  <si>
    <t>NS0062508636</t>
  </si>
  <si>
    <t>NS0062508640</t>
  </si>
  <si>
    <t>NS0062508744</t>
  </si>
  <si>
    <t>NS0062508796</t>
  </si>
  <si>
    <t>NS0062508800</t>
  </si>
  <si>
    <t>NS0062508803</t>
  </si>
  <si>
    <t>NS0062508804</t>
  </si>
  <si>
    <t>NS0062508830</t>
  </si>
  <si>
    <t>NS0062508838</t>
  </si>
  <si>
    <t>NS0062508861</t>
  </si>
  <si>
    <t>NS0062508862</t>
  </si>
  <si>
    <t>NS0062508872</t>
  </si>
  <si>
    <t>NS0062508924</t>
  </si>
  <si>
    <t>NS0062508934</t>
  </si>
  <si>
    <t>NS0062508936</t>
  </si>
  <si>
    <t>NS0062508937</t>
  </si>
  <si>
    <t>NS0062508971</t>
  </si>
  <si>
    <t>NS0062508985</t>
  </si>
  <si>
    <t>NS0062509010</t>
  </si>
  <si>
    <t>NS0062509042</t>
  </si>
  <si>
    <t>NS0062509045</t>
  </si>
  <si>
    <t>NS0062509054</t>
  </si>
  <si>
    <t>NS0062509061</t>
  </si>
  <si>
    <t>NS0062509070</t>
  </si>
  <si>
    <t>NS0062509085</t>
  </si>
  <si>
    <t>NS0062509097</t>
  </si>
  <si>
    <t>NS0062509098</t>
  </si>
  <si>
    <t>NS0062509099</t>
  </si>
  <si>
    <t>NS0062509183</t>
  </si>
  <si>
    <t>NS0062509201</t>
  </si>
  <si>
    <t>NS0062509310</t>
  </si>
  <si>
    <t>NS0062509316</t>
  </si>
  <si>
    <t>NS0062509331</t>
  </si>
  <si>
    <t>NS0062509345</t>
  </si>
  <si>
    <t>NS0062509370</t>
  </si>
  <si>
    <t>NS0062509375</t>
  </si>
  <si>
    <t>NS0062509379</t>
  </si>
  <si>
    <t>NS0062509384</t>
  </si>
  <si>
    <t>NS0062509391</t>
  </si>
  <si>
    <t>NS0062509393</t>
  </si>
  <si>
    <t>NS0062509421</t>
  </si>
  <si>
    <t>NS0062509514</t>
  </si>
  <si>
    <t>NS0062509525</t>
  </si>
  <si>
    <t>NS0062509535</t>
  </si>
  <si>
    <t>NS0062509554</t>
  </si>
  <si>
    <t>NS0062509558</t>
  </si>
  <si>
    <t>NS0062509570</t>
  </si>
  <si>
    <t>NS0062509573</t>
  </si>
  <si>
    <t>NS0062509613</t>
  </si>
  <si>
    <t>NS0062509977</t>
  </si>
  <si>
    <t>NS0062510047</t>
  </si>
  <si>
    <t>NS0062510059</t>
  </si>
  <si>
    <t>NS0062510129</t>
  </si>
  <si>
    <t>NS0062510299</t>
  </si>
  <si>
    <t>Aug 22, 2022</t>
  </si>
  <si>
    <t>Aug 23, 2022</t>
  </si>
  <si>
    <t>Aug 24, 2022</t>
  </si>
  <si>
    <t>Aug 25, 2022</t>
  </si>
  <si>
    <t>DROP</t>
  </si>
  <si>
    <t>Aug 26, 2022</t>
  </si>
  <si>
    <t>Aug 27, 2022</t>
  </si>
  <si>
    <t>Aug 15, 2022</t>
  </si>
  <si>
    <t xml:space="preserve">DOUBLE PLAY </t>
  </si>
  <si>
    <t>Aug 16, 2022</t>
  </si>
  <si>
    <t>Aug 17, 2022</t>
  </si>
  <si>
    <t>Aug 18, 2022</t>
  </si>
  <si>
    <t>Aug 19, 2022</t>
  </si>
  <si>
    <t>Aug 20, 2022</t>
  </si>
  <si>
    <t>NS0062508843</t>
  </si>
  <si>
    <t>NEW OUTLET INCLUDING BATTERY OUTLET/CAT 6</t>
  </si>
  <si>
    <t xml:space="preserve">	NS0062508083</t>
  </si>
  <si>
    <t>NS0062508075</t>
  </si>
  <si>
    <t>5 NEW OUTLETS</t>
  </si>
  <si>
    <t xml:space="preserve">	NS0062509310</t>
  </si>
  <si>
    <t xml:space="preserve">	NS0062509498</t>
  </si>
  <si>
    <t xml:space="preserve">	NS0062509612</t>
  </si>
  <si>
    <t xml:space="preserve">	NS0062510098</t>
  </si>
  <si>
    <t xml:space="preserve">	NS0062510103</t>
  </si>
  <si>
    <t xml:space="preserve">	NS0062510109</t>
  </si>
  <si>
    <t xml:space="preserve">	NS0062510342</t>
  </si>
  <si>
    <t xml:space="preserve">	NS0062510398</t>
  </si>
  <si>
    <t xml:space="preserve">	NS0062510400</t>
  </si>
  <si>
    <t xml:space="preserve">	NS0062510447</t>
  </si>
  <si>
    <t xml:space="preserve">	NS0062510548</t>
  </si>
  <si>
    <t xml:space="preserve">	NS0062510573</t>
  </si>
  <si>
    <t xml:space="preserve">	NS0062510609</t>
  </si>
  <si>
    <t xml:space="preserve">	NS0062510614</t>
  </si>
  <si>
    <t xml:space="preserve">	NS0062510693</t>
  </si>
  <si>
    <t xml:space="preserve">	NS0062510696</t>
  </si>
  <si>
    <t xml:space="preserve">	NS0062510727</t>
  </si>
  <si>
    <t xml:space="preserve">	NS0062510750</t>
  </si>
  <si>
    <t xml:space="preserve">	NS0062510981</t>
  </si>
  <si>
    <t>BS0062510317</t>
  </si>
  <si>
    <t>INC000007967306</t>
  </si>
  <si>
    <t>NS0062501652</t>
  </si>
  <si>
    <t>NS0062506802</t>
  </si>
  <si>
    <t>NS0062507503</t>
  </si>
  <si>
    <t>NS0062507581</t>
  </si>
  <si>
    <t>Ns0062507773</t>
  </si>
  <si>
    <t>NS0062508125</t>
  </si>
  <si>
    <t>NS0062508139</t>
  </si>
  <si>
    <t>NS0062508535</t>
  </si>
  <si>
    <t>NS0062508892</t>
  </si>
  <si>
    <t>NS0062508898</t>
  </si>
  <si>
    <t>NS0062509053</t>
  </si>
  <si>
    <t>NS0062509074</t>
  </si>
  <si>
    <t>NS0062509096</t>
  </si>
  <si>
    <t>NS0062509378</t>
  </si>
  <si>
    <t>NS0062509386</t>
  </si>
  <si>
    <t>NS0062509411</t>
  </si>
  <si>
    <t>NS0062509416</t>
  </si>
  <si>
    <t>NS0062509458</t>
  </si>
  <si>
    <t>Ns0062509474</t>
  </si>
  <si>
    <t>NS0062509524</t>
  </si>
  <si>
    <t>NS0062509555</t>
  </si>
  <si>
    <t>NS0062509572</t>
  </si>
  <si>
    <t>NS0062509595</t>
  </si>
  <si>
    <t>NS0062509997</t>
  </si>
  <si>
    <t>NS0062510000</t>
  </si>
  <si>
    <t>NS0062510001</t>
  </si>
  <si>
    <t>NS0062510009</t>
  </si>
  <si>
    <t>NS0062510011</t>
  </si>
  <si>
    <t>NS0062510035</t>
  </si>
  <si>
    <t>NS0062510045</t>
  </si>
  <si>
    <t>NS0062510049</t>
  </si>
  <si>
    <t>NS0062510057</t>
  </si>
  <si>
    <t>NS0062510062</t>
  </si>
  <si>
    <t>NS0062510067</t>
  </si>
  <si>
    <t>NS0062510095</t>
  </si>
  <si>
    <t>NS0062510105</t>
  </si>
  <si>
    <t>NS0062510106</t>
  </si>
  <si>
    <t>NS0062510107</t>
  </si>
  <si>
    <t>NS0062510130</t>
  </si>
  <si>
    <t>NS0062510131</t>
  </si>
  <si>
    <t>Ns0062510165</t>
  </si>
  <si>
    <t>NS0062510312</t>
  </si>
  <si>
    <t>NS0062510315</t>
  </si>
  <si>
    <t>NS0062510321</t>
  </si>
  <si>
    <t>NS0062510324</t>
  </si>
  <si>
    <t>NS0062510341</t>
  </si>
  <si>
    <t>NS0062510351</t>
  </si>
  <si>
    <t>NS0062510354</t>
  </si>
  <si>
    <t>NS0062510362</t>
  </si>
  <si>
    <t>NS0062510365</t>
  </si>
  <si>
    <t>NS0062510375</t>
  </si>
  <si>
    <t>NS0062510379</t>
  </si>
  <si>
    <t>NS0062510385</t>
  </si>
  <si>
    <t>NS0062510394</t>
  </si>
  <si>
    <t>NS0062510397</t>
  </si>
  <si>
    <t>NS0062510399</t>
  </si>
  <si>
    <t>NS0062510400</t>
  </si>
  <si>
    <t>NS0062510403</t>
  </si>
  <si>
    <t>NS0062510416</t>
  </si>
  <si>
    <t>NS0062510422</t>
  </si>
  <si>
    <t>NS0062510507</t>
  </si>
  <si>
    <t>NS0062510524</t>
  </si>
  <si>
    <t>NS0062510552</t>
  </si>
  <si>
    <t>NS0062510567</t>
  </si>
  <si>
    <t>NS0062510568</t>
  </si>
  <si>
    <t>NS0062510574</t>
  </si>
  <si>
    <t>NS0062510577</t>
  </si>
  <si>
    <t>NS0062510611</t>
  </si>
  <si>
    <t>NS0062510682</t>
  </si>
  <si>
    <t>NS0062510688</t>
  </si>
  <si>
    <t>NS0062510747</t>
  </si>
  <si>
    <t>NS0062510749</t>
  </si>
  <si>
    <t>NS0062510761</t>
  </si>
  <si>
    <t>NS0062510778</t>
  </si>
  <si>
    <t>NS0062510985</t>
  </si>
  <si>
    <t>NS0062520604</t>
  </si>
  <si>
    <t>NS0063509515</t>
  </si>
  <si>
    <t>Aug 29, 2022</t>
  </si>
  <si>
    <t>Replace Drop</t>
  </si>
  <si>
    <t xml:space="preserve">NEW OUTLET </t>
  </si>
  <si>
    <t>Aug 30, 2022</t>
  </si>
  <si>
    <t>NEW OUTLET x 2</t>
  </si>
  <si>
    <t>NEW OUTLET/DROP</t>
  </si>
  <si>
    <t>Aug 31, 2022</t>
  </si>
  <si>
    <t>Sep 1, 2022</t>
  </si>
  <si>
    <t>Sep 2, 2022</t>
  </si>
  <si>
    <t>Sep 3, 2022</t>
  </si>
  <si>
    <t xml:space="preserve">	NS0062508744</t>
  </si>
  <si>
    <t xml:space="preserve">	NS0062510362</t>
  </si>
  <si>
    <t xml:space="preserve">	NS0062510675</t>
  </si>
  <si>
    <t xml:space="preserve">	NS0062510734</t>
  </si>
  <si>
    <t xml:space="preserve">	NS0062511042</t>
  </si>
  <si>
    <t xml:space="preserve">	NS0062511071</t>
  </si>
  <si>
    <t xml:space="preserve">	NS0062511234</t>
  </si>
  <si>
    <t xml:space="preserve">	NS0062511477</t>
  </si>
  <si>
    <t xml:space="preserve">	NS0062511575</t>
  </si>
  <si>
    <t>NS0062508021</t>
  </si>
  <si>
    <t>NS0062508805</t>
  </si>
  <si>
    <t>NS0062509341</t>
  </si>
  <si>
    <t>NS0062509547</t>
  </si>
  <si>
    <t>NS0062509549</t>
  </si>
  <si>
    <t>NS0062509556</t>
  </si>
  <si>
    <t>NS0062509561</t>
  </si>
  <si>
    <t>NS0062509564</t>
  </si>
  <si>
    <t>NS0062510118</t>
  </si>
  <si>
    <t>NS0062510311</t>
  </si>
  <si>
    <t>NS0062510313</t>
  </si>
  <si>
    <t>NS0062510346</t>
  </si>
  <si>
    <t>NS0062510419</t>
  </si>
  <si>
    <t>NS0062510626</t>
  </si>
  <si>
    <t>NS0062510649</t>
  </si>
  <si>
    <t>NS0062510686</t>
  </si>
  <si>
    <t>NS0062510720</t>
  </si>
  <si>
    <t>NS0062510736</t>
  </si>
  <si>
    <t>NS0062510758</t>
  </si>
  <si>
    <t>NS0062510784</t>
  </si>
  <si>
    <t>NS0062510789</t>
  </si>
  <si>
    <t>NS0062510796</t>
  </si>
  <si>
    <t>NS0062510904</t>
  </si>
  <si>
    <t>NS0062510948</t>
  </si>
  <si>
    <t>NS0062510954</t>
  </si>
  <si>
    <t>NS0062510961</t>
  </si>
  <si>
    <t>NS0062510962</t>
  </si>
  <si>
    <t>NS0062510965</t>
  </si>
  <si>
    <t>NS0062510984</t>
  </si>
  <si>
    <t>NS0062510989</t>
  </si>
  <si>
    <t>NS0062511022</t>
  </si>
  <si>
    <t>NS0062511024</t>
  </si>
  <si>
    <t>NS0062511027</t>
  </si>
  <si>
    <t>NS0062511030</t>
  </si>
  <si>
    <t>NS0062511041</t>
  </si>
  <si>
    <t>NS0062511046</t>
  </si>
  <si>
    <t>NS0062511053</t>
  </si>
  <si>
    <t>NS0062511056</t>
  </si>
  <si>
    <t>NS0062511061</t>
  </si>
  <si>
    <t>NS0062511065</t>
  </si>
  <si>
    <t>NS0062511074</t>
  </si>
  <si>
    <t>NS0062511106</t>
  </si>
  <si>
    <t>NS0062511108</t>
  </si>
  <si>
    <t>NS0062511237</t>
  </si>
  <si>
    <t>NS0062511297</t>
  </si>
  <si>
    <t>NS0062511304</t>
  </si>
  <si>
    <t>NS0062511318</t>
  </si>
  <si>
    <t>NS0062511330</t>
  </si>
  <si>
    <t>NS0062511375</t>
  </si>
  <si>
    <t>NS0062511377</t>
  </si>
  <si>
    <t>NS0062511381</t>
  </si>
  <si>
    <t>NS0062511384</t>
  </si>
  <si>
    <t>NS0062511415</t>
  </si>
  <si>
    <t>NS0062511427</t>
  </si>
  <si>
    <t>NS0062511433</t>
  </si>
  <si>
    <t>NS0062511446</t>
  </si>
  <si>
    <t>NS0062511447</t>
  </si>
  <si>
    <t>NS0062511461</t>
  </si>
  <si>
    <t>NS0062511486</t>
  </si>
  <si>
    <t>Ns0062511692</t>
  </si>
  <si>
    <t>NS0062511848</t>
  </si>
  <si>
    <t>NS0062512031</t>
  </si>
  <si>
    <t>NS0062512074</t>
  </si>
  <si>
    <t>NS0062512102</t>
  </si>
  <si>
    <t>NS0063510950</t>
  </si>
  <si>
    <t>NS0063511051</t>
  </si>
  <si>
    <t>NS0063511439</t>
  </si>
  <si>
    <t>WFM000002611106</t>
  </si>
  <si>
    <t>Sep 6, 2022</t>
  </si>
  <si>
    <t>CONNECTED HOME NETWORK/DROPP</t>
  </si>
  <si>
    <t>Sep 7, 2022</t>
  </si>
  <si>
    <t>Sep 8, 2022</t>
  </si>
  <si>
    <t>NEW OUTLET</t>
  </si>
  <si>
    <t>WALL-FISH</t>
  </si>
  <si>
    <t>Sep 9, 2022</t>
  </si>
  <si>
    <t>Sep 10,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</si>
</sst>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</numFmts>
  <fonts count="29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rgb="FF888888"/>
      <name val="Arial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/>
    <xf numFmtId="44" fontId="14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0" fontId="8" fillId="0" borderId="0"/>
    <xf numFmtId="0" fontId="23" fillId="0" borderId="0"/>
    <xf numFmtId="0" fontId="7" fillId="0" borderId="0"/>
    <xf numFmtId="44" fontId="7" fillId="0" borderId="0" applyFont="0" applyFill="0" applyBorder="0" applyAlignment="0" applyProtection="0"/>
    <xf numFmtId="0" fontId="4" fillId="0" borderId="0"/>
    <xf numFmtId="0" fontId="3" fillId="0" borderId="0"/>
    <xf numFmtId="44" fontId="2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68">
    <xf numFmtId="0" fontId="0" fillId="0" borderId="0" xfId="0"/>
    <xf numFmtId="0" fontId="15" fillId="2" borderId="1" xfId="0" applyFont="1" applyFill="1" applyBorder="1"/>
    <xf numFmtId="0" fontId="16" fillId="3" borderId="1" xfId="0" applyFont="1" applyFill="1" applyBorder="1"/>
    <xf numFmtId="0" fontId="16" fillId="0" borderId="1" xfId="0" applyFont="1" applyBorder="1"/>
    <xf numFmtId="0" fontId="17" fillId="0" borderId="0" xfId="0" applyFont="1"/>
    <xf numFmtId="44" fontId="15" fillId="2" borderId="2" xfId="1" applyFont="1" applyFill="1" applyBorder="1"/>
    <xf numFmtId="44" fontId="16" fillId="3" borderId="2" xfId="1" applyFont="1" applyFill="1" applyBorder="1" applyAlignment="1">
      <alignment horizontal="right"/>
    </xf>
    <xf numFmtId="44" fontId="16" fillId="0" borderId="2" xfId="1" applyFont="1" applyBorder="1" applyAlignment="1">
      <alignment horizontal="right"/>
    </xf>
    <xf numFmtId="44" fontId="0" fillId="0" borderId="0" xfId="1" applyFont="1"/>
    <xf numFmtId="44" fontId="0" fillId="0" borderId="3" xfId="1" applyFont="1" applyBorder="1"/>
    <xf numFmtId="0" fontId="0" fillId="0" borderId="3" xfId="0" applyBorder="1"/>
    <xf numFmtId="44" fontId="0" fillId="5" borderId="3" xfId="1" applyFont="1" applyFill="1" applyBorder="1"/>
    <xf numFmtId="44" fontId="0" fillId="5" borderId="3" xfId="0" applyNumberFormat="1" applyFill="1" applyBorder="1"/>
    <xf numFmtId="44" fontId="0" fillId="4" borderId="3" xfId="0" applyNumberFormat="1" applyFill="1" applyBorder="1"/>
    <xf numFmtId="44" fontId="0" fillId="0" borderId="3" xfId="0" applyNumberFormat="1" applyBorder="1"/>
    <xf numFmtId="0" fontId="22" fillId="0" borderId="0" xfId="0" applyFont="1"/>
    <xf numFmtId="0" fontId="21" fillId="0" borderId="0" xfId="0" applyFont="1"/>
    <xf numFmtId="14" fontId="0" fillId="0" borderId="0" xfId="0" applyNumberFormat="1"/>
    <xf numFmtId="164" fontId="22" fillId="0" borderId="0" xfId="0" applyNumberFormat="1" applyFont="1"/>
    <xf numFmtId="8" fontId="0" fillId="0" borderId="3" xfId="1" applyNumberFormat="1" applyFont="1" applyBorder="1"/>
    <xf numFmtId="8" fontId="0" fillId="4" borderId="3" xfId="1" applyNumberFormat="1" applyFont="1" applyFill="1" applyBorder="1"/>
    <xf numFmtId="0" fontId="13" fillId="6" borderId="4" xfId="0" applyFont="1" applyFill="1" applyBorder="1" applyAlignment="1">
      <alignment horizontal="center" wrapText="1"/>
    </xf>
    <xf numFmtId="0" fontId="13" fillId="6" borderId="5" xfId="0" applyFont="1" applyFill="1" applyBorder="1" applyAlignment="1">
      <alignment horizontal="center" wrapText="1"/>
    </xf>
    <xf numFmtId="0" fontId="13" fillId="6" borderId="3" xfId="0" applyFont="1" applyFill="1" applyBorder="1" applyAlignment="1">
      <alignment horizontal="center" wrapText="1"/>
    </xf>
    <xf numFmtId="44" fontId="0" fillId="6" borderId="3" xfId="1" applyFont="1" applyFill="1" applyBorder="1"/>
    <xf numFmtId="0" fontId="0" fillId="6" borderId="3" xfId="0" applyFill="1" applyBorder="1" applyAlignment="1">
      <alignment horizontal="right"/>
    </xf>
    <xf numFmtId="0" fontId="0" fillId="6" borderId="0" xfId="0" applyFill="1"/>
    <xf numFmtId="0" fontId="19" fillId="6" borderId="4" xfId="0" applyFont="1" applyFill="1" applyBorder="1" applyAlignment="1">
      <alignment horizontal="center" wrapText="1"/>
    </xf>
    <xf numFmtId="0" fontId="19" fillId="6" borderId="5" xfId="0" applyFont="1" applyFill="1" applyBorder="1" applyAlignment="1">
      <alignment horizontal="center" wrapText="1"/>
    </xf>
    <xf numFmtId="0" fontId="19" fillId="6" borderId="6" xfId="0" applyFont="1" applyFill="1" applyBorder="1" applyAlignment="1">
      <alignment horizontal="center" wrapText="1"/>
    </xf>
    <xf numFmtId="44" fontId="0" fillId="6" borderId="6" xfId="1" applyFont="1" applyFill="1" applyBorder="1"/>
    <xf numFmtId="0" fontId="0" fillId="6" borderId="6" xfId="0" applyFill="1" applyBorder="1" applyAlignment="1">
      <alignment horizontal="right"/>
    </xf>
    <xf numFmtId="44" fontId="0" fillId="0" borderId="0" xfId="1" applyFont="1" applyBorder="1"/>
    <xf numFmtId="0" fontId="13" fillId="6" borderId="6" xfId="0" applyFont="1" applyFill="1" applyBorder="1" applyAlignment="1">
      <alignment horizontal="center" wrapText="1"/>
    </xf>
    <xf numFmtId="0" fontId="0" fillId="5" borderId="3" xfId="0" applyFill="1" applyBorder="1"/>
    <xf numFmtId="0" fontId="16" fillId="0" borderId="3" xfId="0" applyFont="1" applyBorder="1"/>
    <xf numFmtId="44" fontId="0" fillId="4" borderId="7" xfId="0" applyNumberFormat="1" applyFill="1" applyBorder="1"/>
    <xf numFmtId="0" fontId="0" fillId="0" borderId="3" xfId="0" applyBorder="1" applyAlignment="1">
      <alignment horizontal="left"/>
    </xf>
    <xf numFmtId="0" fontId="21" fillId="0" borderId="3" xfId="0" applyFont="1" applyBorder="1" applyAlignment="1">
      <alignment horizontal="center"/>
    </xf>
    <xf numFmtId="0" fontId="12" fillId="0" borderId="0" xfId="2"/>
    <xf numFmtId="44" fontId="12" fillId="0" borderId="3" xfId="2" applyNumberFormat="1" applyBorder="1"/>
    <xf numFmtId="0" fontId="12" fillId="0" borderId="3" xfId="2" applyBorder="1" applyAlignment="1">
      <alignment horizontal="left"/>
    </xf>
    <xf numFmtId="0" fontId="12" fillId="0" borderId="3" xfId="2" applyBorder="1"/>
    <xf numFmtId="0" fontId="21" fillId="0" borderId="3" xfId="2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3" xfId="0" pivotButton="1" applyBorder="1" applyAlignment="1">
      <alignment horizontal="center" vertical="center" wrapText="1"/>
    </xf>
    <xf numFmtId="0" fontId="22" fillId="0" borderId="3" xfId="2" applyFont="1" applyBorder="1"/>
    <xf numFmtId="0" fontId="21" fillId="0" borderId="3" xfId="2" applyFont="1" applyBorder="1"/>
    <xf numFmtId="14" fontId="12" fillId="0" borderId="3" xfId="2" applyNumberFormat="1" applyBorder="1"/>
    <xf numFmtId="164" fontId="22" fillId="0" borderId="3" xfId="2" applyNumberFormat="1" applyFont="1" applyBorder="1"/>
    <xf numFmtId="44" fontId="0" fillId="0" borderId="3" xfId="3" applyFont="1" applyBorder="1"/>
    <xf numFmtId="0" fontId="12" fillId="5" borderId="3" xfId="2" applyFill="1" applyBorder="1"/>
    <xf numFmtId="44" fontId="0" fillId="0" borderId="3" xfId="3" applyFont="1" applyBorder="1" applyAlignment="1">
      <alignment horizontal="center"/>
    </xf>
    <xf numFmtId="44" fontId="0" fillId="5" borderId="3" xfId="3" applyFont="1" applyFill="1" applyBorder="1"/>
    <xf numFmtId="44" fontId="12" fillId="4" borderId="3" xfId="2" applyNumberFormat="1" applyFill="1" applyBorder="1"/>
    <xf numFmtId="0" fontId="22" fillId="0" borderId="3" xfId="2" applyFont="1" applyBorder="1" applyAlignment="1">
      <alignment horizontal="center"/>
    </xf>
    <xf numFmtId="0" fontId="12" fillId="0" borderId="3" xfId="2" applyBorder="1" applyAlignment="1">
      <alignment horizontal="center"/>
    </xf>
    <xf numFmtId="0" fontId="12" fillId="0" borderId="0" xfId="2" applyAlignment="1">
      <alignment horizontal="center"/>
    </xf>
    <xf numFmtId="14" fontId="12" fillId="0" borderId="3" xfId="2" applyNumberFormat="1" applyBorder="1" applyAlignment="1">
      <alignment horizontal="center"/>
    </xf>
    <xf numFmtId="164" fontId="22" fillId="0" borderId="3" xfId="2" applyNumberFormat="1" applyFont="1" applyBorder="1" applyAlignment="1">
      <alignment horizontal="center"/>
    </xf>
    <xf numFmtId="44" fontId="0" fillId="0" borderId="3" xfId="3" applyFont="1" applyFill="1" applyBorder="1"/>
    <xf numFmtId="44" fontId="12" fillId="4" borderId="3" xfId="2" applyNumberFormat="1" applyFill="1" applyBorder="1" applyAlignment="1">
      <alignment horizontal="center"/>
    </xf>
    <xf numFmtId="44" fontId="12" fillId="0" borderId="0" xfId="2" applyNumberFormat="1" applyAlignment="1">
      <alignment horizontal="center"/>
    </xf>
    <xf numFmtId="0" fontId="19" fillId="6" borderId="4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44" fontId="0" fillId="6" borderId="3" xfId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6" borderId="3" xfId="2" applyFont="1" applyFill="1" applyBorder="1" applyAlignment="1">
      <alignment horizontal="center" vertical="center" wrapText="1"/>
    </xf>
    <xf numFmtId="0" fontId="19" fillId="6" borderId="10" xfId="2" applyFont="1" applyFill="1" applyBorder="1" applyAlignment="1">
      <alignment horizontal="center" vertical="center" wrapText="1"/>
    </xf>
    <xf numFmtId="0" fontId="19" fillId="6" borderId="6" xfId="2" applyFont="1" applyFill="1" applyBorder="1" applyAlignment="1">
      <alignment horizontal="center" vertical="center" wrapText="1"/>
    </xf>
    <xf numFmtId="44" fontId="0" fillId="6" borderId="3" xfId="3" applyFont="1" applyFill="1" applyBorder="1" applyAlignment="1">
      <alignment horizontal="center" vertical="center" wrapText="1"/>
    </xf>
    <xf numFmtId="0" fontId="12" fillId="6" borderId="3" xfId="2" applyFill="1" applyBorder="1" applyAlignment="1">
      <alignment horizontal="center" vertical="center" wrapText="1"/>
    </xf>
    <xf numFmtId="0" fontId="12" fillId="0" borderId="0" xfId="2" applyAlignment="1">
      <alignment horizontal="center" vertical="center"/>
    </xf>
    <xf numFmtId="0" fontId="12" fillId="0" borderId="0" xfId="2" applyAlignment="1">
      <alignment horizontal="center" vertical="center" wrapText="1"/>
    </xf>
    <xf numFmtId="0" fontId="11" fillId="0" borderId="0" xfId="4"/>
    <xf numFmtId="0" fontId="19" fillId="6" borderId="6" xfId="4" applyFont="1" applyFill="1" applyBorder="1" applyAlignment="1">
      <alignment horizontal="center" wrapText="1"/>
    </xf>
    <xf numFmtId="0" fontId="19" fillId="6" borderId="3" xfId="4" applyFont="1" applyFill="1" applyBorder="1" applyAlignment="1">
      <alignment horizontal="center" wrapText="1"/>
    </xf>
    <xf numFmtId="0" fontId="11" fillId="0" borderId="3" xfId="4" applyBorder="1"/>
    <xf numFmtId="44" fontId="0" fillId="5" borderId="3" xfId="5" applyFont="1" applyFill="1" applyBorder="1"/>
    <xf numFmtId="165" fontId="11" fillId="5" borderId="3" xfId="4" applyNumberFormat="1" applyFill="1" applyBorder="1" applyAlignment="1">
      <alignment horizontal="center"/>
    </xf>
    <xf numFmtId="0" fontId="0" fillId="0" borderId="3" xfId="0" pivotButton="1" applyBorder="1"/>
    <xf numFmtId="44" fontId="0" fillId="6" borderId="3" xfId="5" applyFont="1" applyFill="1" applyBorder="1" applyAlignment="1">
      <alignment wrapText="1"/>
    </xf>
    <xf numFmtId="0" fontId="11" fillId="6" borderId="3" xfId="4" applyFill="1" applyBorder="1" applyAlignment="1">
      <alignment horizontal="right" wrapText="1"/>
    </xf>
    <xf numFmtId="0" fontId="11" fillId="0" borderId="0" xfId="4" applyAlignment="1">
      <alignment wrapText="1"/>
    </xf>
    <xf numFmtId="0" fontId="19" fillId="6" borderId="11" xfId="4" applyFont="1" applyFill="1" applyBorder="1" applyAlignment="1">
      <alignment horizontal="center" wrapText="1"/>
    </xf>
    <xf numFmtId="0" fontId="19" fillId="6" borderId="12" xfId="4" applyFont="1" applyFill="1" applyBorder="1" applyAlignment="1">
      <alignment horizontal="center" wrapText="1"/>
    </xf>
    <xf numFmtId="0" fontId="19" fillId="6" borderId="13" xfId="4" applyFont="1" applyFill="1" applyBorder="1" applyAlignment="1">
      <alignment horizontal="center" wrapText="1"/>
    </xf>
    <xf numFmtId="0" fontId="22" fillId="0" borderId="3" xfId="4" applyFont="1" applyBorder="1"/>
    <xf numFmtId="0" fontId="21" fillId="0" borderId="3" xfId="4" applyFont="1" applyBorder="1"/>
    <xf numFmtId="14" fontId="11" fillId="0" borderId="3" xfId="4" applyNumberFormat="1" applyBorder="1"/>
    <xf numFmtId="0" fontId="11" fillId="0" borderId="3" xfId="4" applyBorder="1" applyAlignment="1">
      <alignment horizontal="right"/>
    </xf>
    <xf numFmtId="164" fontId="22" fillId="0" borderId="3" xfId="4" applyNumberFormat="1" applyFont="1" applyBorder="1"/>
    <xf numFmtId="0" fontId="11" fillId="4" borderId="0" xfId="4" applyFill="1"/>
    <xf numFmtId="44" fontId="0" fillId="0" borderId="0" xfId="3" applyFont="1" applyBorder="1"/>
    <xf numFmtId="44" fontId="0" fillId="5" borderId="0" xfId="5" applyFont="1" applyFill="1" applyBorder="1"/>
    <xf numFmtId="44" fontId="0" fillId="0" borderId="0" xfId="5" applyFont="1" applyBorder="1"/>
    <xf numFmtId="0" fontId="11" fillId="5" borderId="3" xfId="4" applyFill="1" applyBorder="1"/>
    <xf numFmtId="0" fontId="11" fillId="5" borderId="0" xfId="4" applyFill="1"/>
    <xf numFmtId="0" fontId="10" fillId="5" borderId="3" xfId="4" applyFont="1" applyFill="1" applyBorder="1"/>
    <xf numFmtId="44" fontId="11" fillId="5" borderId="3" xfId="4" applyNumberFormat="1" applyFill="1" applyBorder="1"/>
    <xf numFmtId="44" fontId="0" fillId="6" borderId="3" xfId="5" applyFont="1" applyFill="1" applyBorder="1"/>
    <xf numFmtId="0" fontId="9" fillId="5" borderId="3" xfId="4" applyFont="1" applyFill="1" applyBorder="1"/>
    <xf numFmtId="0" fontId="9" fillId="0" borderId="3" xfId="2" applyFont="1" applyBorder="1"/>
    <xf numFmtId="0" fontId="9" fillId="5" borderId="3" xfId="2" applyFont="1" applyFill="1" applyBorder="1"/>
    <xf numFmtId="0" fontId="12" fillId="5" borderId="0" xfId="2" applyFill="1"/>
    <xf numFmtId="0" fontId="10" fillId="5" borderId="3" xfId="2" applyFont="1" applyFill="1" applyBorder="1"/>
    <xf numFmtId="0" fontId="0" fillId="0" borderId="14" xfId="0" pivotButton="1" applyBorder="1"/>
    <xf numFmtId="0" fontId="0" fillId="0" borderId="14" xfId="0" applyBorder="1"/>
    <xf numFmtId="44" fontId="0" fillId="0" borderId="3" xfId="0" pivotButton="1" applyNumberFormat="1" applyBorder="1"/>
    <xf numFmtId="44" fontId="0" fillId="0" borderId="3" xfId="0" applyNumberFormat="1" applyBorder="1" applyAlignment="1">
      <alignment horizontal="left"/>
    </xf>
    <xf numFmtId="0" fontId="7" fillId="0" borderId="3" xfId="8" applyBorder="1"/>
    <xf numFmtId="0" fontId="7" fillId="0" borderId="0" xfId="8"/>
    <xf numFmtId="0" fontId="7" fillId="0" borderId="3" xfId="8" applyBorder="1" applyAlignment="1">
      <alignment horizontal="left"/>
    </xf>
    <xf numFmtId="0" fontId="7" fillId="5" borderId="3" xfId="4" applyFont="1" applyFill="1" applyBorder="1"/>
    <xf numFmtId="0" fontId="7" fillId="5" borderId="0" xfId="8" applyFill="1"/>
    <xf numFmtId="44" fontId="7" fillId="5" borderId="3" xfId="8" applyNumberFormat="1" applyFill="1" applyBorder="1"/>
    <xf numFmtId="0" fontId="19" fillId="5" borderId="6" xfId="8" applyFont="1" applyFill="1" applyBorder="1" applyAlignment="1">
      <alignment horizontal="center" vertical="center" wrapText="1"/>
    </xf>
    <xf numFmtId="0" fontId="19" fillId="5" borderId="3" xfId="8" applyFont="1" applyFill="1" applyBorder="1" applyAlignment="1">
      <alignment horizontal="center" wrapText="1"/>
    </xf>
    <xf numFmtId="44" fontId="0" fillId="5" borderId="3" xfId="9" applyFont="1" applyFill="1" applyBorder="1"/>
    <xf numFmtId="0" fontId="7" fillId="5" borderId="3" xfId="8" applyFill="1" applyBorder="1" applyAlignment="1">
      <alignment horizontal="right"/>
    </xf>
    <xf numFmtId="15" fontId="7" fillId="5" borderId="3" xfId="8" applyNumberFormat="1" applyFill="1" applyBorder="1" applyAlignment="1">
      <alignment horizontal="left" vertical="center"/>
    </xf>
    <xf numFmtId="0" fontId="7" fillId="5" borderId="3" xfId="8" applyFill="1" applyBorder="1"/>
    <xf numFmtId="0" fontId="14" fillId="5" borderId="0" xfId="8" applyFont="1" applyFill="1"/>
    <xf numFmtId="0" fontId="16" fillId="5" borderId="0" xfId="8" applyFont="1" applyFill="1"/>
    <xf numFmtId="44" fontId="0" fillId="5" borderId="3" xfId="9" applyFont="1" applyFill="1" applyBorder="1" applyAlignment="1">
      <alignment horizontal="center"/>
    </xf>
    <xf numFmtId="0" fontId="24" fillId="5" borderId="3" xfId="8" applyFont="1" applyFill="1" applyBorder="1"/>
    <xf numFmtId="0" fontId="7" fillId="5" borderId="3" xfId="8" applyFill="1" applyBorder="1" applyAlignment="1">
      <alignment horizontal="left"/>
    </xf>
    <xf numFmtId="44" fontId="0" fillId="5" borderId="3" xfId="9" applyFont="1" applyFill="1" applyBorder="1" applyAlignment="1">
      <alignment horizontal="left"/>
    </xf>
    <xf numFmtId="0" fontId="14" fillId="5" borderId="0" xfId="8" applyFont="1" applyFill="1" applyAlignment="1">
      <alignment horizontal="left"/>
    </xf>
    <xf numFmtId="0" fontId="7" fillId="5" borderId="0" xfId="8" applyFill="1" applyAlignment="1">
      <alignment horizontal="left"/>
    </xf>
    <xf numFmtId="0" fontId="16" fillId="5" borderId="0" xfId="8" applyFont="1" applyFill="1" applyAlignment="1">
      <alignment horizontal="left"/>
    </xf>
    <xf numFmtId="0" fontId="7" fillId="5" borderId="3" xfId="8" applyFill="1" applyBorder="1" applyAlignment="1">
      <alignment horizontal="center"/>
    </xf>
    <xf numFmtId="0" fontId="14" fillId="5" borderId="0" xfId="8" applyFont="1" applyFill="1" applyAlignment="1">
      <alignment horizontal="center"/>
    </xf>
    <xf numFmtId="0" fontId="7" fillId="5" borderId="0" xfId="8" applyFill="1" applyAlignment="1">
      <alignment horizontal="center"/>
    </xf>
    <xf numFmtId="0" fontId="7" fillId="5" borderId="6" xfId="8" applyFill="1" applyBorder="1"/>
    <xf numFmtId="0" fontId="7" fillId="5" borderId="13" xfId="8" applyFill="1" applyBorder="1"/>
    <xf numFmtId="44" fontId="0" fillId="5" borderId="6" xfId="9" applyFont="1" applyFill="1" applyBorder="1"/>
    <xf numFmtId="44" fontId="7" fillId="5" borderId="6" xfId="8" applyNumberFormat="1" applyFill="1" applyBorder="1"/>
    <xf numFmtId="44" fontId="0" fillId="5" borderId="3" xfId="9" applyFont="1" applyFill="1" applyBorder="1" applyAlignment="1">
      <alignment horizontal="center" vertical="center" wrapText="1"/>
    </xf>
    <xf numFmtId="0" fontId="7" fillId="5" borderId="3" xfId="8" applyFill="1" applyBorder="1" applyAlignment="1">
      <alignment horizontal="center" vertical="center" wrapText="1"/>
    </xf>
    <xf numFmtId="0" fontId="7" fillId="5" borderId="0" xfId="8" applyFill="1" applyAlignment="1">
      <alignment horizontal="center" vertical="center"/>
    </xf>
    <xf numFmtId="0" fontId="7" fillId="0" borderId="0" xfId="8" applyAlignment="1">
      <alignment horizontal="center" vertical="center" wrapText="1"/>
    </xf>
    <xf numFmtId="0" fontId="7" fillId="5" borderId="0" xfId="8" applyFill="1" applyAlignment="1">
      <alignment horizontal="center" wrapText="1"/>
    </xf>
    <xf numFmtId="44" fontId="7" fillId="5" borderId="3" xfId="8" applyNumberFormat="1" applyFill="1" applyBorder="1" applyAlignment="1">
      <alignment horizontal="center" vertical="center"/>
    </xf>
    <xf numFmtId="0" fontId="7" fillId="5" borderId="3" xfId="8" applyFill="1" applyBorder="1" applyAlignment="1">
      <alignment horizontal="center" vertical="center"/>
    </xf>
    <xf numFmtId="0" fontId="16" fillId="5" borderId="3" xfId="8" applyFont="1" applyFill="1" applyBorder="1" applyAlignment="1">
      <alignment horizontal="center" vertical="center"/>
    </xf>
    <xf numFmtId="0" fontId="24" fillId="7" borderId="3" xfId="8" applyFont="1" applyFill="1" applyBorder="1" applyAlignment="1">
      <alignment horizontal="center" vertical="center"/>
    </xf>
    <xf numFmtId="0" fontId="7" fillId="5" borderId="6" xfId="8" applyFill="1" applyBorder="1" applyAlignment="1">
      <alignment horizontal="center" vertical="center"/>
    </xf>
    <xf numFmtId="0" fontId="7" fillId="0" borderId="0" xfId="8" applyAlignment="1">
      <alignment horizontal="center" vertical="center"/>
    </xf>
    <xf numFmtId="0" fontId="19" fillId="5" borderId="11" xfId="8" applyFont="1" applyFill="1" applyBorder="1" applyAlignment="1">
      <alignment horizontal="center" vertical="center" wrapText="1"/>
    </xf>
    <xf numFmtId="0" fontId="19" fillId="5" borderId="12" xfId="8" applyFont="1" applyFill="1" applyBorder="1" applyAlignment="1">
      <alignment horizontal="center" vertical="center" wrapText="1"/>
    </xf>
    <xf numFmtId="0" fontId="19" fillId="5" borderId="13" xfId="8" applyFont="1" applyFill="1" applyBorder="1" applyAlignment="1">
      <alignment horizontal="center" vertical="center" wrapText="1"/>
    </xf>
    <xf numFmtId="0" fontId="21" fillId="5" borderId="3" xfId="8" applyFont="1" applyFill="1" applyBorder="1"/>
    <xf numFmtId="14" fontId="7" fillId="5" borderId="3" xfId="8" applyNumberFormat="1" applyFill="1" applyBorder="1" applyAlignment="1">
      <alignment horizontal="center" vertical="center"/>
    </xf>
    <xf numFmtId="44" fontId="0" fillId="5" borderId="6" xfId="9" applyFont="1" applyFill="1" applyBorder="1" applyAlignment="1">
      <alignment horizontal="center" vertical="center" wrapText="1"/>
    </xf>
    <xf numFmtId="0" fontId="16" fillId="5" borderId="3" xfId="8" applyFont="1" applyFill="1" applyBorder="1" applyAlignment="1">
      <alignment horizontal="left" wrapText="1"/>
    </xf>
    <xf numFmtId="0" fontId="25" fillId="5" borderId="3" xfId="8" applyFont="1" applyFill="1" applyBorder="1" applyAlignment="1">
      <alignment horizontal="center" wrapText="1"/>
    </xf>
    <xf numFmtId="0" fontId="25" fillId="5" borderId="3" xfId="8" applyFont="1" applyFill="1" applyBorder="1" applyAlignment="1">
      <alignment horizontal="center" vertical="center" wrapText="1"/>
    </xf>
    <xf numFmtId="0" fontId="25" fillId="5" borderId="3" xfId="8" applyFont="1" applyFill="1" applyBorder="1" applyAlignment="1">
      <alignment horizontal="left" wrapText="1"/>
    </xf>
    <xf numFmtId="15" fontId="7" fillId="5" borderId="3" xfId="8" applyNumberFormat="1" applyFill="1" applyBorder="1" applyAlignment="1">
      <alignment horizontal="left" vertical="top"/>
    </xf>
    <xf numFmtId="0" fontId="14" fillId="5" borderId="3" xfId="8" applyFont="1" applyFill="1" applyBorder="1" applyAlignment="1">
      <alignment horizontal="center" vertical="center"/>
    </xf>
    <xf numFmtId="0" fontId="6" fillId="5" borderId="3" xfId="8" applyFont="1" applyFill="1" applyBorder="1"/>
    <xf numFmtId="0" fontId="5" fillId="0" borderId="0" xfId="8" applyFont="1"/>
    <xf numFmtId="0" fontId="21" fillId="0" borderId="3" xfId="11" applyFont="1" applyBorder="1" applyAlignment="1">
      <alignment horizontal="center"/>
    </xf>
    <xf numFmtId="0" fontId="23" fillId="0" borderId="0" xfId="7"/>
    <xf numFmtId="0" fontId="23" fillId="0" borderId="3" xfId="7" applyBorder="1"/>
    <xf numFmtId="44" fontId="23" fillId="0" borderId="3" xfId="7" applyNumberFormat="1" applyBorder="1"/>
    <xf numFmtId="0" fontId="13" fillId="6" borderId="4" xfId="7" applyFont="1" applyFill="1" applyBorder="1" applyAlignment="1">
      <alignment horizontal="center" wrapText="1"/>
    </xf>
    <xf numFmtId="0" fontId="13" fillId="6" borderId="5" xfId="7" applyFont="1" applyFill="1" applyBorder="1" applyAlignment="1">
      <alignment horizontal="center" wrapText="1"/>
    </xf>
    <xf numFmtId="0" fontId="13" fillId="6" borderId="6" xfId="7" applyFont="1" applyFill="1" applyBorder="1" applyAlignment="1">
      <alignment horizontal="center" wrapText="1"/>
    </xf>
    <xf numFmtId="0" fontId="13" fillId="6" borderId="3" xfId="7" applyFont="1" applyFill="1" applyBorder="1" applyAlignment="1">
      <alignment horizontal="center" wrapText="1"/>
    </xf>
    <xf numFmtId="44" fontId="0" fillId="6" borderId="3" xfId="12" applyFont="1" applyFill="1" applyBorder="1"/>
    <xf numFmtId="0" fontId="23" fillId="6" borderId="3" xfId="7" applyFill="1" applyBorder="1" applyAlignment="1">
      <alignment horizontal="right"/>
    </xf>
    <xf numFmtId="0" fontId="23" fillId="5" borderId="3" xfId="7" applyFill="1" applyBorder="1"/>
    <xf numFmtId="44" fontId="0" fillId="0" borderId="3" xfId="12" applyFont="1" applyBorder="1"/>
    <xf numFmtId="0" fontId="26" fillId="0" borderId="0" xfId="7" applyFont="1" applyAlignment="1">
      <alignment wrapText="1"/>
    </xf>
    <xf numFmtId="44" fontId="0" fillId="0" borderId="3" xfId="12" applyFont="1" applyBorder="1" applyAlignment="1">
      <alignment horizontal="center"/>
    </xf>
    <xf numFmtId="44" fontId="0" fillId="5" borderId="3" xfId="12" applyFont="1" applyFill="1" applyBorder="1"/>
    <xf numFmtId="44" fontId="0" fillId="5" borderId="3" xfId="12" applyFont="1" applyFill="1" applyBorder="1" applyAlignment="1">
      <alignment horizontal="center"/>
    </xf>
    <xf numFmtId="0" fontId="23" fillId="0" borderId="0" xfId="7" applyAlignment="1">
      <alignment horizontal="left"/>
    </xf>
    <xf numFmtId="0" fontId="26" fillId="0" borderId="0" xfId="7" applyFont="1" applyAlignment="1">
      <alignment horizontal="left" wrapText="1"/>
    </xf>
    <xf numFmtId="0" fontId="26" fillId="0" borderId="0" xfId="7" applyFont="1" applyAlignment="1">
      <alignment horizontal="center" wrapText="1"/>
    </xf>
    <xf numFmtId="0" fontId="23" fillId="0" borderId="0" xfId="7" applyAlignment="1">
      <alignment horizontal="center"/>
    </xf>
    <xf numFmtId="44" fontId="23" fillId="5" borderId="3" xfId="7" applyNumberFormat="1" applyFill="1" applyBorder="1"/>
    <xf numFmtId="0" fontId="14" fillId="5" borderId="3" xfId="7" applyFont="1" applyFill="1" applyBorder="1"/>
    <xf numFmtId="44" fontId="23" fillId="4" borderId="3" xfId="7" applyNumberFormat="1" applyFill="1" applyBorder="1"/>
    <xf numFmtId="44" fontId="7" fillId="0" borderId="3" xfId="8" applyNumberFormat="1" applyBorder="1"/>
    <xf numFmtId="0" fontId="21" fillId="0" borderId="3" xfId="14" applyFont="1" applyBorder="1" applyAlignment="1">
      <alignment horizontal="center"/>
    </xf>
    <xf numFmtId="0" fontId="2" fillId="0" borderId="0" xfId="14"/>
    <xf numFmtId="44" fontId="2" fillId="0" borderId="3" xfId="14" applyNumberFormat="1" applyBorder="1"/>
    <xf numFmtId="0" fontId="13" fillId="6" borderId="4" xfId="14" applyFont="1" applyFill="1" applyBorder="1" applyAlignment="1">
      <alignment horizontal="center" wrapText="1"/>
    </xf>
    <xf numFmtId="0" fontId="13" fillId="6" borderId="5" xfId="14" applyFont="1" applyFill="1" applyBorder="1" applyAlignment="1">
      <alignment horizontal="center" wrapText="1"/>
    </xf>
    <xf numFmtId="0" fontId="13" fillId="6" borderId="6" xfId="14" applyFont="1" applyFill="1" applyBorder="1" applyAlignment="1">
      <alignment horizontal="center" wrapText="1"/>
    </xf>
    <xf numFmtId="0" fontId="13" fillId="6" borderId="3" xfId="14" applyFont="1" applyFill="1" applyBorder="1" applyAlignment="1">
      <alignment horizontal="center" wrapText="1"/>
    </xf>
    <xf numFmtId="44" fontId="0" fillId="6" borderId="3" xfId="15" applyFont="1" applyFill="1" applyBorder="1"/>
    <xf numFmtId="0" fontId="2" fillId="6" borderId="3" xfId="14" applyFill="1" applyBorder="1" applyAlignment="1">
      <alignment horizontal="right"/>
    </xf>
    <xf numFmtId="0" fontId="2" fillId="5" borderId="3" xfId="14" applyFill="1" applyBorder="1"/>
    <xf numFmtId="44" fontId="26" fillId="5" borderId="3" xfId="15" applyFont="1" applyFill="1" applyBorder="1" applyAlignment="1">
      <alignment wrapText="1"/>
    </xf>
    <xf numFmtId="44" fontId="0" fillId="5" borderId="3" xfId="15" applyFont="1" applyFill="1" applyBorder="1"/>
    <xf numFmtId="44" fontId="2" fillId="5" borderId="3" xfId="14" applyNumberFormat="1" applyFill="1" applyBorder="1"/>
    <xf numFmtId="0" fontId="14" fillId="5" borderId="3" xfId="14" applyFont="1" applyFill="1" applyBorder="1"/>
    <xf numFmtId="44" fontId="2" fillId="4" borderId="3" xfId="14" applyNumberFormat="1" applyFill="1" applyBorder="1"/>
    <xf numFmtId="0" fontId="23" fillId="4" borderId="3" xfId="7" applyFill="1" applyBorder="1"/>
    <xf numFmtId="0" fontId="14" fillId="5" borderId="1" xfId="7" applyFont="1" applyFill="1" applyBorder="1"/>
    <xf numFmtId="44" fontId="23" fillId="0" borderId="3" xfId="7" applyNumberFormat="1" applyBorder="1" applyAlignment="1">
      <alignment horizontal="left"/>
    </xf>
    <xf numFmtId="0" fontId="2" fillId="0" borderId="3" xfId="14" applyBorder="1" applyAlignment="1">
      <alignment horizontal="left"/>
    </xf>
    <xf numFmtId="0" fontId="2" fillId="0" borderId="3" xfId="14" applyBorder="1"/>
    <xf numFmtId="44" fontId="23" fillId="0" borderId="3" xfId="7" applyNumberFormat="1" applyBorder="1" applyAlignment="1">
      <alignment wrapText="1"/>
    </xf>
    <xf numFmtId="0" fontId="23" fillId="0" borderId="3" xfId="7" applyBorder="1" applyAlignment="1">
      <alignment horizontal="left"/>
    </xf>
    <xf numFmtId="0" fontId="14" fillId="0" borderId="3" xfId="7" applyFont="1" applyBorder="1"/>
    <xf numFmtId="0" fontId="13" fillId="8" borderId="3" xfId="7" applyFont="1" applyFill="1" applyBorder="1" applyAlignment="1">
      <alignment horizontal="center" wrapText="1"/>
    </xf>
    <xf numFmtId="44" fontId="28" fillId="8" borderId="3" xfId="12" applyFont="1" applyFill="1" applyBorder="1"/>
    <xf numFmtId="0" fontId="27" fillId="8" borderId="3" xfId="7" applyFont="1" applyFill="1" applyBorder="1" applyAlignment="1">
      <alignment horizontal="right"/>
    </xf>
    <xf numFmtId="0" fontId="26" fillId="0" borderId="3" xfId="7" applyFont="1" applyBorder="1" applyAlignment="1">
      <alignment wrapText="1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4" fontId="0" fillId="5" borderId="8" xfId="0" applyNumberFormat="1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0" fontId="22" fillId="0" borderId="8" xfId="2" applyFont="1" applyBorder="1" applyAlignment="1">
      <alignment horizontal="center"/>
    </xf>
    <xf numFmtId="0" fontId="22" fillId="0" borderId="9" xfId="2" applyFont="1" applyBorder="1" applyAlignment="1">
      <alignment horizontal="center"/>
    </xf>
    <xf numFmtId="0" fontId="12" fillId="0" borderId="8" xfId="2" applyBorder="1" applyAlignment="1">
      <alignment horizontal="center"/>
    </xf>
    <xf numFmtId="0" fontId="12" fillId="0" borderId="9" xfId="2" applyBorder="1" applyAlignment="1">
      <alignment horizontal="center"/>
    </xf>
    <xf numFmtId="164" fontId="12" fillId="0" borderId="3" xfId="2" applyNumberFormat="1" applyBorder="1" applyAlignment="1">
      <alignment horizontal="center"/>
    </xf>
    <xf numFmtId="14" fontId="12" fillId="0" borderId="8" xfId="2" applyNumberFormat="1" applyBorder="1" applyAlignment="1">
      <alignment horizontal="center"/>
    </xf>
    <xf numFmtId="14" fontId="12" fillId="0" borderId="9" xfId="2" applyNumberFormat="1" applyBorder="1" applyAlignment="1">
      <alignment horizontal="center"/>
    </xf>
    <xf numFmtId="0" fontId="7" fillId="5" borderId="15" xfId="8" applyFill="1" applyBorder="1" applyAlignment="1">
      <alignment horizontal="center"/>
    </xf>
    <xf numFmtId="0" fontId="7" fillId="5" borderId="16" xfId="8" applyFill="1" applyBorder="1" applyAlignment="1">
      <alignment horizontal="center"/>
    </xf>
    <xf numFmtId="0" fontId="7" fillId="5" borderId="10" xfId="8" applyFill="1" applyBorder="1" applyAlignment="1">
      <alignment horizontal="center"/>
    </xf>
    <xf numFmtId="0" fontId="7" fillId="5" borderId="17" xfId="8" applyFill="1" applyBorder="1" applyAlignment="1">
      <alignment horizontal="center"/>
    </xf>
    <xf numFmtId="0" fontId="7" fillId="5" borderId="0" xfId="8" applyFill="1" applyAlignment="1">
      <alignment horizontal="center"/>
    </xf>
    <xf numFmtId="0" fontId="7" fillId="5" borderId="18" xfId="8" applyFill="1" applyBorder="1" applyAlignment="1">
      <alignment horizontal="center"/>
    </xf>
    <xf numFmtId="0" fontId="22" fillId="5" borderId="8" xfId="8" applyFont="1" applyFill="1" applyBorder="1" applyAlignment="1">
      <alignment horizontal="center" vertical="center"/>
    </xf>
    <xf numFmtId="0" fontId="22" fillId="5" borderId="9" xfId="8" applyFont="1" applyFill="1" applyBorder="1" applyAlignment="1">
      <alignment horizontal="center" vertical="center"/>
    </xf>
    <xf numFmtId="0" fontId="7" fillId="5" borderId="8" xfId="8" applyFill="1" applyBorder="1" applyAlignment="1">
      <alignment horizontal="center" vertical="center"/>
    </xf>
    <xf numFmtId="0" fontId="7" fillId="5" borderId="9" xfId="8" applyFill="1" applyBorder="1" applyAlignment="1">
      <alignment horizontal="center" vertical="center"/>
    </xf>
    <xf numFmtId="0" fontId="22" fillId="0" borderId="8" xfId="14" applyFont="1" applyBorder="1" applyAlignment="1">
      <alignment horizontal="center"/>
    </xf>
    <xf numFmtId="0" fontId="22" fillId="0" borderId="9" xfId="14" applyFont="1" applyBorder="1" applyAlignment="1">
      <alignment horizontal="center"/>
    </xf>
    <xf numFmtId="0" fontId="2" fillId="0" borderId="8" xfId="14" applyBorder="1" applyAlignment="1">
      <alignment horizontal="center"/>
    </xf>
    <xf numFmtId="0" fontId="2" fillId="0" borderId="9" xfId="14" applyBorder="1" applyAlignment="1">
      <alignment horizontal="center"/>
    </xf>
    <xf numFmtId="164" fontId="2" fillId="0" borderId="3" xfId="14" applyNumberFormat="1" applyBorder="1" applyAlignment="1">
      <alignment horizontal="center"/>
    </xf>
    <xf numFmtId="14" fontId="2" fillId="0" borderId="8" xfId="14" applyNumberFormat="1" applyBorder="1" applyAlignment="1">
      <alignment horizontal="center"/>
    </xf>
    <xf numFmtId="14" fontId="2" fillId="0" borderId="9" xfId="14" applyNumberFormat="1" applyBorder="1" applyAlignment="1">
      <alignment horizontal="center"/>
    </xf>
    <xf numFmtId="0" fontId="22" fillId="0" borderId="3" xfId="11" applyFont="1" applyBorder="1" applyAlignment="1">
      <alignment horizontal="center"/>
    </xf>
    <xf numFmtId="0" fontId="3" fillId="0" borderId="3" xfId="11" applyBorder="1" applyAlignment="1">
      <alignment horizontal="center" vertical="center"/>
    </xf>
    <xf numFmtId="164" fontId="3" fillId="0" borderId="3" xfId="11" applyNumberFormat="1" applyBorder="1" applyAlignment="1">
      <alignment horizontal="center" vertical="center"/>
    </xf>
    <xf numFmtId="14" fontId="3" fillId="0" borderId="3" xfId="11" applyNumberFormat="1" applyBorder="1" applyAlignment="1">
      <alignment horizontal="center" vertical="center"/>
    </xf>
    <xf numFmtId="0" fontId="1" fillId="0" borderId="3" xfId="16" applyBorder="1"/>
    <xf numFmtId="0" fontId="1" fillId="0" borderId="0" xfId="16"/>
    <xf numFmtId="0" fontId="1" fillId="0" borderId="3" xfId="16" applyBorder="1" applyAlignment="1">
      <alignment horizontal="left"/>
    </xf>
    <xf numFmtId="44" fontId="1" fillId="0" borderId="3" xfId="16" applyNumberFormat="1" applyBorder="1"/>
    <xf numFmtId="0" fontId="1" fillId="5" borderId="0" xfId="16" applyFill="1"/>
    <xf numFmtId="44" fontId="0" fillId="5" borderId="3" xfId="17" applyFont="1" applyFill="1" applyBorder="1"/>
    <xf numFmtId="44" fontId="26" fillId="0" borderId="3" xfId="17" applyFont="1" applyBorder="1" applyAlignment="1">
      <alignment wrapText="1"/>
    </xf>
    <xf numFmtId="44" fontId="0" fillId="0" borderId="3" xfId="17" applyFont="1" applyBorder="1"/>
    <xf numFmtId="0" fontId="14" fillId="5" borderId="1" xfId="16" applyFont="1" applyFill="1" applyBorder="1"/>
    <xf numFmtId="0" fontId="1" fillId="5" borderId="3" xfId="16" applyFill="1" applyBorder="1"/>
    <xf numFmtId="44" fontId="26" fillId="5" borderId="3" xfId="17" applyFont="1" applyFill="1" applyBorder="1" applyAlignment="1">
      <alignment wrapText="1"/>
    </xf>
    <xf numFmtId="44" fontId="1" fillId="4" borderId="3" xfId="16" applyNumberFormat="1" applyFill="1" applyBorder="1"/>
    <xf numFmtId="0" fontId="13" fillId="8" borderId="3" xfId="16" applyFont="1" applyFill="1" applyBorder="1" applyAlignment="1">
      <alignment horizontal="center" wrapText="1"/>
    </xf>
    <xf numFmtId="44" fontId="0" fillId="8" borderId="3" xfId="17" applyFont="1" applyFill="1" applyBorder="1"/>
    <xf numFmtId="0" fontId="1" fillId="8" borderId="3" xfId="16" applyFill="1" applyBorder="1" applyAlignment="1">
      <alignment horizontal="right"/>
    </xf>
  </cellXfs>
  <cellStyles count="18">
    <cellStyle name="Currency" xfId="1" builtinId="4"/>
    <cellStyle name="Currency 2" xfId="3" xr:uid="{E1479B03-C328-4C81-BDC0-A50C9DD5C7F0}"/>
    <cellStyle name="Currency 3" xfId="5" xr:uid="{D8B25BDF-0FF2-486A-883F-5F67E11FA880}"/>
    <cellStyle name="Currency 4" xfId="9" xr:uid="{85318101-E973-47B6-8AA8-782AA402B6F1}"/>
    <cellStyle name="Currency 5" xfId="12" xr:uid="{EEFE3A5B-1573-4A8D-B303-30036B8824C4}"/>
    <cellStyle name="Currency 6" xfId="13" xr:uid="{5D26CC93-9191-4595-8C2F-165B487FCC78}"/>
    <cellStyle name="Currency 7" xfId="15" xr:uid="{38B5B497-101C-4322-B5AA-B5DA941324E2}"/>
    <cellStyle name="Currency 8" xfId="17" xr:uid="{FAE5AA77-91C5-4B20-AEF9-AE6CA24697BD}"/>
    <cellStyle name="Normal" xfId="0" builtinId="0"/>
    <cellStyle name="Normal 2" xfId="2" xr:uid="{D5621582-BC18-483A-83C9-7E5CDE90B154}"/>
    <cellStyle name="Normal 2 2" xfId="6" xr:uid="{9A7F55D6-D230-457E-873A-01F174A8B0FD}"/>
    <cellStyle name="Normal 2 3" xfId="11" xr:uid="{85877040-9370-4602-8995-F88B8463D6D8}"/>
    <cellStyle name="Normal 2 4" xfId="14" xr:uid="{B7D6B873-8FD5-445A-A911-EC7A062311A8}"/>
    <cellStyle name="Normal 3" xfId="4" xr:uid="{50C00EC1-26C5-4184-B400-1DD6AE63FC69}"/>
    <cellStyle name="Normal 4" xfId="7" xr:uid="{DF93047B-FB17-4901-8024-BE6D3933C676}"/>
    <cellStyle name="Normal 5" xfId="8" xr:uid="{09DB14D8-7CF3-488B-B8C4-AFA7935A75BF}"/>
    <cellStyle name="Normal 6" xfId="10" xr:uid="{65643CB6-27DF-4D8E-B9A8-838B871F642E}"/>
    <cellStyle name="Normal 7" xfId="16" xr:uid="{933BAB87-E96A-4219-886D-EAA67AAA35B0}"/>
  </cellStyles>
  <dxfs count="3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9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4.xml"/><Relationship Id="rId42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pivotCacheDefinition" Target="pivotCache/pivotCacheDefinition7.xml"/><Relationship Id="rId40" Type="http://schemas.openxmlformats.org/officeDocument/2006/relationships/pivotCacheDefinition" Target="pivotCache/pivotCacheDefinition1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openxmlformats.org/officeDocument/2006/relationships/pivotCacheDefinition" Target="pivotCache/pivotCacheDefinition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xlFile://Root/CurrentDir/Consolidated%20Inv%2045%207.25-7.30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xlFile://Root/CurrentDir/Consolidated%20Inv%2044%207.18-7.23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Create%20invoice%2046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un%20Muhammad\Downloads\8-15%20to%208-20%20(4)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un%20Muhammad\Downloads\8-22-2202%20to%208-27-2022%20(2)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un%20Muhammad\Downloads\8-29-2022%20to%209-3-2022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un%20Muhammad\Downloads\9-5-2022%20to%209-10-2022.xlsx" TargetMode="External"/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76.799903819447" createdVersion="8" refreshedVersion="8" minRefreshableVersion="3" recordCount="79" xr:uid="{0F22AA84-69F0-422F-BA2E-917913397F4C}">
  <cacheSource type="worksheet">
    <worksheetSource ref="A8:J87" sheet="NEW" r:id="rId2"/>
  </cacheSource>
  <cacheFields count="10">
    <cacheField name="Work Order Date" numFmtId="0">
      <sharedItems count="6">
        <s v="Jul 25, 2022"/>
        <s v="Jul 26, 2022"/>
        <s v="Jul 27, 2022"/>
        <s v="Jul 28, 2022"/>
        <s v="Jul 29, 2022"/>
        <s v="Jul 30, 2022"/>
      </sharedItems>
    </cacheField>
    <cacheField name="Work Order Number" numFmtId="0">
      <sharedItems count="79">
        <s v="NS0062503222"/>
        <s v="NS0062503140"/>
        <s v="NS0062501754"/>
        <s v="NS0062501795"/>
        <s v="NS0062501771"/>
        <s v="NS0062502024"/>
        <s v="NS0062500028"/>
        <s v="NS0062497035"/>
        <s v="NS0062502459"/>
        <s v="NS0062502385"/>
        <s v="NS0062501881"/>
        <s v="NS0062501443"/>
        <s v="NS0062502444"/>
        <s v="NS0062500704"/>
        <s v="NS0062502382"/>
        <s v="NS0062501802"/>
        <s v="NS0062502522"/>
        <s v="NS0062501794"/>
        <s v="NS0062501761"/>
        <s v="NS0062501338"/>
        <s v="NS0062496719"/>
        <s v="NS0062501337"/>
        <s v="NS0062501344"/>
        <s v="NS0062502524"/>
        <s v="NS0062503511"/>
        <s v="NS0062502047"/>
        <s v="NS0062501170"/>
        <s v="NS0062502423"/>
        <s v="NS0062502323"/>
        <s v="NS0062503800"/>
        <s v="NS0062501847"/>
        <s v="NS0062500066"/>
        <s v="NS0062501869"/>
        <s v="NS0062502476"/>
        <s v="NS0062505609"/>
        <s v="NS0062505726"/>
        <s v="NS0062501388"/>
        <s v="NS0062502523"/>
        <s v="NS0062503428"/>
        <s v="NS0062502400"/>
        <s v="NS0062503154"/>
        <s v="NS0062502665"/>
        <s v="NS0062502664"/>
        <s v="NS0062502282"/>
        <s v="NS0062497572"/>
        <s v="NS0062505759"/>
        <s v="NS0062503847"/>
        <s v="NS0062503217"/>
        <s v="NS0062501890"/>
        <s v="NS0062500379"/>
        <s v="NS0062503808"/>
        <s v="NS0062503831"/>
        <s v="NS0062503825"/>
        <s v="NS0062505731"/>
        <s v="NS0062502430"/>
        <s v="NS0062502660"/>
        <s v="NS0062503828"/>
        <s v="NS0062503778"/>
        <s v="NS0062503419"/>
        <s v="NS0062503136"/>
        <s v="NS0062503557"/>
        <s v="NS0062505611"/>
        <s v="NS0062502501"/>
        <s v="NS0062502499"/>
        <s v="NS0062503233"/>
        <s v="NS0062503783"/>
        <s v="NS0062505893"/>
        <s v="NS0062506094"/>
        <s v="NS0062506021"/>
        <s v="NS0062502420"/>
        <s v="NS0062497489"/>
        <s v="NS0062503558"/>
        <s v="NS0062506035"/>
        <s v="NS0062498129"/>
        <s v="NS0062503560"/>
        <s v="NS0062503809"/>
        <s v="NS0062503846"/>
        <s v="NS0062501080"/>
        <s v="NS0062505750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0">
      <sharedItems containsString="0" containsBlank="1" containsNumber="1" containsInteger="1" minValue="40" maxValue="45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76.796352546298" createdVersion="8" refreshedVersion="8" minRefreshableVersion="3" recordCount="95" xr:uid="{21F2152C-23BC-4121-BB6F-F925A8B9FA7C}">
  <cacheSource type="worksheet">
    <worksheetSource ref="A8:J103" sheet="NEW" r:id="rId2"/>
  </cacheSource>
  <cacheFields count="10">
    <cacheField name="Work Order Date" numFmtId="0">
      <sharedItems/>
    </cacheField>
    <cacheField name="Work Order Number" numFmtId="0">
      <sharedItems count="95">
        <s v="NS0062498149"/>
        <s v="NS0062500550"/>
        <s v="NS0062500103"/>
        <s v="NS0062496016"/>
        <s v="NS0062497393"/>
        <s v="NS0062501365"/>
        <s v="NS0062496694"/>
        <s v="_x0009_NS0062501357"/>
        <s v="_x0009_NS0062501353"/>
        <s v="_x0009_NS0062501230"/>
        <s v="_x0009_NS0062500652"/>
        <s v="_x0009_NS0062500775"/>
        <s v="NS0062501048"/>
        <s v="NS0062502327"/>
        <s v="NS0062502324"/>
        <s v="NS0062498252"/>
        <s v="NS0062498247"/>
        <s v="NS0062500699"/>
        <s v="NS0062500723"/>
        <s v="NS0062500787"/>
        <s v="NS0062501558"/>
        <s v="NS0062501898"/>
        <s v="NS0062500644"/>
        <s v="NS0062501174"/>
        <s v="NS0062500749"/>
        <s v="NS0062500829"/>
        <s v="NS0062500778"/>
        <s v="NS0062500745"/>
        <s v="NS0062500743"/>
        <s v="NS0062501822"/>
        <s v="NS0062500535"/>
        <s v="NS0062500824"/>
        <s v="NS0062500678"/>
        <s v="NS0062501297"/>
        <s v="NS0062495992"/>
        <s v="NS0062502305"/>
        <s v="NS0062500836"/>
        <s v="NS0062501241"/>
        <s v="NS0062501056"/>
        <s v="NS0062501211"/>
        <s v="NS0062501911"/>
        <s v="NS0062501842"/>
        <s v="NS0062501074"/>
        <s v="Ns0062501073"/>
        <s v="NS0062502288"/>
        <s v="NS0062498046"/>
        <s v="NS0062502294"/>
        <s v="NS0062501832"/>
        <s v="NS0062500510"/>
        <s v="NS0062500509"/>
        <s v="NS0062502285"/>
        <s v="NS0062501382"/>
        <s v="NS0062502433"/>
        <s v="NS0062501385"/>
        <s v="NS0062501087"/>
        <s v="NS0062497456"/>
        <s v="NS0062500096"/>
        <s v="NS0062500486"/>
        <s v="NS0062501852"/>
        <s v="NS0062502030"/>
        <s v="NS0062501170"/>
        <s v="NS0062500341"/>
        <s v="NS0062501301"/>
        <s v="NS0062501242"/>
        <s v="NS0062501906"/>
        <s v="NS0062500610"/>
        <s v="NS0062501378"/>
        <s v="NS0062501878"/>
        <s v="NS0062500711"/>
        <s v="NS0062502342"/>
        <s v="NS0062502032"/>
        <s v="NS0062500707"/>
        <s v="NS0062501442"/>
        <s v="NS0062501812"/>
        <s v="NS0062501903"/>
        <s v="NS0062501422"/>
        <s v="NS0062501424"/>
        <s v="NS0062501419"/>
        <s v="NS0062502036"/>
        <s v="NS0062501390"/>
        <s v="NS0062500472"/>
        <s v="NS0062501293"/>
        <s v="NS0062500825"/>
        <s v="NS0062501084"/>
        <s v="NS0062503133"/>
        <s v="NS0062502457"/>
        <s v="NS0062502663"/>
        <s v="NS0062496629"/>
        <s v="NS0062503226"/>
        <s v="NS0062502369"/>
        <s v="NS0062502486"/>
        <s v="NS0062501642"/>
        <s v="NS0062501759"/>
        <s v="NS0062501792"/>
        <s v="NS0062502317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55"/>
    </cacheField>
    <cacheField name="Additional (1)" numFmtId="0">
      <sharedItems containsString="0" containsBlank="1" containsNumber="1" containsInteger="1" minValue="25" maxValue="45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76.909798726854" createdVersion="8" refreshedVersion="8" minRefreshableVersion="3" recordCount="52" xr:uid="{729D3B42-4BD0-4176-8834-871B8267DED1}">
  <cacheSource type="worksheet">
    <worksheetSource ref="A8:J60" sheet="Dataset 41"/>
  </cacheSource>
  <cacheFields count="10">
    <cacheField name="Work Order Date" numFmtId="0">
      <sharedItems count="5">
        <s v="Jul 5, 2022"/>
        <s v="Jul 6, 2022"/>
        <s v="Jul 7, 2022"/>
        <s v="Jul 8, 2022"/>
        <s v="Jul 9, 2022"/>
      </sharedItems>
    </cacheField>
    <cacheField name="Work Order Number" numFmtId="0">
      <sharedItems count="53">
        <s v="NS0062497499"/>
        <s v="NS0062497342"/>
        <s v="NS0062497465"/>
        <s v="NS0062496890"/>
        <s v="NS0062497491"/>
        <s v="NS0062497481"/>
        <s v="NS0062496915"/>
        <s v="NS0062494400"/>
        <s v="NS0062496831"/>
        <s v="NS0062496816"/>
        <s v="NS0062497416"/>
        <s v="NS0062496629"/>
        <s v="NS0062496936"/>
        <s v="NS0062497045"/>
        <s v="NS0062497238"/>
        <s v="NS0062497431"/>
        <s v="NS0062498004"/>
        <s v="NS0062498024"/>
        <s v="NS0062494745"/>
        <s v="NS0062496846"/>
        <s v="NS0062495907"/>
        <s v="NS0062497038"/>
        <s v="NS0062497230"/>
        <s v="NS0062497039"/>
        <s v="NS0062497382"/>
        <s v="NS0062497391"/>
        <s v="NS0062496981"/>
        <s v="NS0062497531"/>
        <s v="NS0062497584"/>
        <s v="NS0062497348"/>
        <s v="NS0062495841"/>
        <s v="NS0062496943"/>
        <s v="NS0062498019"/>
        <s v="NS0062493447"/>
        <s v="NS0062497244"/>
        <s v="NS0062497373"/>
        <s v="NS0062497375"/>
        <s v="NS0062497187"/>
        <s v="NS0062498039"/>
        <s v="NS0062495750"/>
        <s v="NS0062497408"/>
        <s v="NS0062498173"/>
        <s v="NS0062496983"/>
        <s v="NS0062498022"/>
        <s v="NS0062497527"/>
        <s v="NS0062495836"/>
        <s v="NS0062498231"/>
        <s v="NS0062496643"/>
        <s v="NS0062496080"/>
        <s v="NS0062498119"/>
        <s v="NS0062485618"/>
        <s v="NS0062496060"/>
        <s v="NES006245836" u="1"/>
      </sharedItems>
    </cacheField>
    <cacheField name="Tech Name" numFmtId="0">
      <sharedItems count="3">
        <s v="Chris Ambler"/>
        <s v="Remington Taylor"/>
        <s v="Marcus Martin"/>
      </sharedItems>
    </cacheField>
    <cacheField name="Base Work Order Type" numFmtId="0">
      <sharedItems count="6">
        <s v="DOUBLE PLAY MDU"/>
        <s v="TRIP CHARGE"/>
        <s v="SINGLE PLAY"/>
        <s v="SINGLE PLAY MDU"/>
        <s v="TRIPLE PLAY MDU"/>
        <s v="RETURN SERVICE CALL"/>
      </sharedItems>
    </cacheField>
    <cacheField name="Additional Work Performed (Not On Order)" numFmtId="0">
      <sharedItems containsBlank="1" count="3">
        <m/>
        <s v="HOOK UP HOME NETWORK"/>
        <s v="NEW OUTLET INCLUDING BATTERY OUTLET/CAT 5"/>
      </sharedItems>
    </cacheField>
    <cacheField name="Additional Work Performed (Not On Order)2" numFmtId="0">
      <sharedItems containsBlank="1" count="3">
        <s v="HOOK UP HOME NETWORK"/>
        <m/>
        <s v="NEW OUTLET INCLUDING BATTERY OUTLET/CAT 5"/>
      </sharedItems>
    </cacheField>
    <cacheField name="Base Work Order" numFmtId="44">
      <sharedItems containsSemiMixedTypes="0" containsString="0" containsNumber="1" containsInteger="1" minValue="40" maxValue="125"/>
    </cacheField>
    <cacheField name="Additional (1)" numFmtId="44">
      <sharedItems containsString="0" containsBlank="1" containsNumber="1" containsInteger="1" minValue="40" maxValue="45"/>
    </cacheField>
    <cacheField name="Additional (2)" numFmtId="44">
      <sharedItems containsString="0" containsBlank="1" containsNumber="1" containsInteger="1" minValue="40" maxValue="45"/>
    </cacheField>
    <cacheField name="Total" numFmtId="0">
      <sharedItems containsSemiMixedTypes="0" containsString="0" containsNumber="1" containsInteger="1" minValue="40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2.726752430557" createdVersion="8" refreshedVersion="8" minRefreshableVersion="3" recordCount="95" xr:uid="{8D11906E-A677-4A02-8062-777EA726E6A1}">
  <cacheSource type="worksheet">
    <worksheetSource ref="A8:J103" sheet="Dataset 43"/>
  </cacheSource>
  <cacheFields count="10">
    <cacheField name="Work Order Date" numFmtId="0">
      <sharedItems/>
    </cacheField>
    <cacheField name="Work Order Number" numFmtId="0">
      <sharedItems count="95">
        <s v="NS0062498149"/>
        <s v="NS0062500550"/>
        <s v="NS0062500103"/>
        <s v="NS0062496016"/>
        <s v="NS0062497393"/>
        <s v="NS0062501365"/>
        <s v="NS0062496694"/>
        <s v="_x0009_NS0062501357"/>
        <s v="_x0009_NS0062501353"/>
        <s v="_x0009_NS0062501230"/>
        <s v="_x0009_NS0062500652"/>
        <s v="_x0009_NS0062500775"/>
        <s v="NS0062501048"/>
        <s v="NS0062502327"/>
        <s v="NS0062502324"/>
        <s v="NS0062498252"/>
        <s v="NS0062498247"/>
        <s v="NS0062500699"/>
        <s v="NS0062500723"/>
        <s v="NS0062500787"/>
        <s v="NS0062501558"/>
        <s v="NS0062501898"/>
        <s v="NS0062500644"/>
        <s v="NS0062501174"/>
        <s v="NS0062500749"/>
        <s v="NS0062500829"/>
        <s v="NS0062500778"/>
        <s v="NS0062500745"/>
        <s v="NS0062500743"/>
        <s v="NS0062501822"/>
        <s v="NS0062500535"/>
        <s v="NS0062500824"/>
        <s v="NS0062500678"/>
        <s v="NS0062501297"/>
        <s v="NS0062495992"/>
        <s v="NS0062502305"/>
        <s v="NS0062500836"/>
        <s v="NS0062501241"/>
        <s v="NS0062501056"/>
        <s v="NS0062501211"/>
        <s v="NS0062501911"/>
        <s v="NS0062501842"/>
        <s v="NS0062501074"/>
        <s v="Ns0062501073"/>
        <s v="NS0062502288"/>
        <s v="NS0062498046"/>
        <s v="NS0062502294"/>
        <s v="NS0062501832"/>
        <s v="NS0062500510"/>
        <s v="NS0062500509"/>
        <s v="NS0062502285"/>
        <s v="NS0062501382"/>
        <s v="NS0062502433"/>
        <s v="NS0062501385"/>
        <s v="NS0062501087"/>
        <s v="NS0062497456"/>
        <s v="NS0062500096"/>
        <s v="NS0062500486"/>
        <s v="NS0062501852"/>
        <s v="NS0062502030"/>
        <s v="NS0062501170"/>
        <s v="NS0062500341"/>
        <s v="NS0062501301"/>
        <s v="NS0062501242"/>
        <s v="NS0062501906"/>
        <s v="NS0062500610"/>
        <s v="NS0062501378"/>
        <s v="NS0062501878"/>
        <s v="NS0062500711"/>
        <s v="NS0062502342"/>
        <s v="NS0062502032"/>
        <s v="NS0062500707"/>
        <s v="NS0062501442"/>
        <s v="NS0062501812"/>
        <s v="NS0062501903"/>
        <s v="NS0062501422"/>
        <s v="NS0062501424"/>
        <s v="NS0062501419"/>
        <s v="NS0062502036"/>
        <s v="NS0062501390"/>
        <s v="NS0062500472"/>
        <s v="NS0062501293"/>
        <s v="NS0062500825"/>
        <s v="NS0062501084"/>
        <s v="NS0062503133"/>
        <s v="NS0062502457"/>
        <s v="NS0062502663"/>
        <s v="NS0062496629"/>
        <s v="NS0062503226"/>
        <s v="NS0062502369"/>
        <s v="NS0062502486"/>
        <s v="NS0062501642"/>
        <s v="NS0062501759"/>
        <s v="NS0062501792"/>
        <s v="NS0062502317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55"/>
    </cacheField>
    <cacheField name="Additional (1)" numFmtId="0">
      <sharedItems containsString="0" containsBlank="1" containsNumber="1" containsInteger="1" minValue="25" maxValue="85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2.726985069443" createdVersion="8" refreshedVersion="8" minRefreshableVersion="3" recordCount="79" xr:uid="{4EE9FDCD-AC2F-47C0-BD02-5508A205E2BE}">
  <cacheSource type="worksheet">
    <worksheetSource ref="A8:J87" sheet="Dataset 44"/>
  </cacheSource>
  <cacheFields count="10">
    <cacheField name="Work Order Date" numFmtId="0">
      <sharedItems/>
    </cacheField>
    <cacheField name="Work Order Number" numFmtId="0">
      <sharedItems count="79">
        <s v="NS0062503222"/>
        <s v="NS0062503140"/>
        <s v="NS0062501754"/>
        <s v="NS0062501795"/>
        <s v="NS0062501771"/>
        <s v="NS0062502024"/>
        <s v="NS0062500028"/>
        <s v="NS0062497035"/>
        <s v="NS0062502459"/>
        <s v="NS0062502385"/>
        <s v="NS0062501881"/>
        <s v="NS0062501443"/>
        <s v="NS0062502444"/>
        <s v="NS0062500704"/>
        <s v="NS0062502382"/>
        <s v="NS0062501802"/>
        <s v="NS0062502522"/>
        <s v="NS0062501794"/>
        <s v="NS0062501761"/>
        <s v="NS0062501338"/>
        <s v="NS0062496719"/>
        <s v="NS0062501337"/>
        <s v="NS0062501344"/>
        <s v="NS0062502524"/>
        <s v="NS0062503511"/>
        <s v="NS0062502047"/>
        <s v="NS0062501170"/>
        <s v="NS0062502423"/>
        <s v="NS0062502323"/>
        <s v="NS0062503800"/>
        <s v="NS0062501847"/>
        <s v="NS0062500066"/>
        <s v="NS0062501869"/>
        <s v="NS0062502476"/>
        <s v="NS0062505609"/>
        <s v="NS0062505726"/>
        <s v="NS0062501388"/>
        <s v="NS0062502523"/>
        <s v="NS0062503428"/>
        <s v="NS0062502400"/>
        <s v="NS0062503154"/>
        <s v="NS0062502665"/>
        <s v="NS0062502664"/>
        <s v="NS0062502282"/>
        <s v="NS0062497572"/>
        <s v="NS0062505759"/>
        <s v="NS0062503847"/>
        <s v="NS0062503217"/>
        <s v="NS0062501890"/>
        <s v="NS0062500379"/>
        <s v="NS0062503808"/>
        <s v="NS0062503831"/>
        <s v="NS0062503825"/>
        <s v="NS0062505731"/>
        <s v="NS0062502430"/>
        <s v="NS0062502660"/>
        <s v="NS0062503828"/>
        <s v="NS0062503778"/>
        <s v="NS0062503419"/>
        <s v="NS0062503136"/>
        <s v="NS0062503557"/>
        <s v="NS0062505611"/>
        <s v="NS0062502501"/>
        <s v="NS0062502499"/>
        <s v="NS0062503233"/>
        <s v="NS0062503783"/>
        <s v="NS0062505893"/>
        <s v="NS0062506094"/>
        <s v="NS0062506021"/>
        <s v="NS0062502420"/>
        <s v="NS0062497489"/>
        <s v="NS0062503558"/>
        <s v="NS0062506035"/>
        <s v="NS0062498129"/>
        <s v="NS0062503560"/>
        <s v="NS0062503809"/>
        <s v="NS0062503846"/>
        <s v="NS0062501080"/>
        <s v="NS0062505750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0">
      <sharedItems containsString="0" containsBlank="1" containsNumber="1" containsInteger="1" minValue="40" maxValue="85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9.671817476854" createdVersion="8" refreshedVersion="8" minRefreshableVersion="3" recordCount="80" xr:uid="{2C08B706-86F9-4424-8D18-BB131DBB83DE}">
  <cacheSource type="worksheet">
    <worksheetSource ref="A8:J88" sheet="Dataset 46" r:id="rId2"/>
  </cacheSource>
  <cacheFields count="10">
    <cacheField name="Work Order Date" numFmtId="0">
      <sharedItems containsDate="1" containsMixedTypes="1" minDate="2022-08-08T00:00:00" maxDate="2022-08-13T00:00:00"/>
    </cacheField>
    <cacheField name="Work Order Number" numFmtId="0">
      <sharedItems count="79">
        <s v="NS0062498214"/>
        <s v="NS0062501251"/>
        <s v="NS0062507003"/>
        <s v="NS0062506595"/>
        <s v="NS0062506874"/>
        <s v="NS0062505889"/>
        <s v="NS0062506055"/>
        <s v="NS0062506583"/>
        <s v="NS0062506580"/>
        <s v="NS0062503850"/>
        <s v="NS0062506857"/>
        <s v="NS0062506865"/>
        <s v="NS0062506751"/>
        <s v="NS0062506576"/>
        <s v="NS0062506602"/>
        <s v="NS0062503719"/>
        <s v="NS0062506479"/>
        <s v="NS0062506735"/>
        <s v="NS0062506727"/>
        <s v="NS0062506948"/>
        <s v="NS0062473980"/>
        <s v="NS0062506658"/>
        <s v="NS0062506715"/>
        <s v="NS0062505850"/>
        <s v="NS0062506694"/>
        <s v="NS0062506761"/>
        <s v="NS0062506980"/>
        <s v="NS0062506900"/>
        <s v="NS0062506981"/>
        <s v="NS0062506666"/>
        <s v="NS0062505615"/>
        <s v="NS0062506958"/>
        <s v="NS0062506956"/>
        <s v="Ns0062506858"/>
        <s v="NS0062505870"/>
        <s v="NS0062506842"/>
        <s v="NS0062506808"/>
        <s v="NS0062507071"/>
        <s v="NS0062507458"/>
        <s v="NS0062506588"/>
        <s v="NS0062507502"/>
        <s v="NS0062507236"/>
        <s v="NS0062506822"/>
        <s v="NS0062506929"/>
        <s v="NS0062507662"/>
        <s v="NS0062507042"/>
        <s v="NS0062507733"/>
        <s v="NS0062500779"/>
        <s v="NS0062507261"/>
        <s v="NS0062507173"/>
        <s v="NS0062507260"/>
        <s v="NS0062506918"/>
        <s v="NS0062507195"/>
        <s v="NS0062507743"/>
        <s v="NS0062507295"/>
        <s v="NS0062508154"/>
        <s v="NS0062501157"/>
        <s v="NS0062508034"/>
        <s v="NS0062506447"/>
        <s v="NS0062508025"/>
        <s v="NS0062507028"/>
        <s v="NS0062507253"/>
        <s v="NS0062507515"/>
        <s v="NS0062507476"/>
        <s v="NS0062506978"/>
        <s v="NS0062507504"/>
        <s v="NS0062507474"/>
        <s v="NS0062506610"/>
        <s v="NS0062506986"/>
        <s v="NS0062507084"/>
        <s v="NS0062506565"/>
        <s v="NS0062507252"/>
        <s v="NS0062506607"/>
        <s v="NS0062507468"/>
        <s v="NS0062507738"/>
        <s v="NS0063507781"/>
        <s v="NS0062507772"/>
        <s v="NS0062507510"/>
        <s v="NS0062507319"/>
      </sharedItems>
    </cacheField>
    <cacheField name="Tech Name" numFmtId="0">
      <sharedItems/>
    </cacheField>
    <cacheField name="Base Work Order Type" numFmtId="0">
      <sharedItems containsMixedTypes="1" containsNumber="1" containsInteger="1" minValue="0" maxValue="0"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55"/>
    </cacheField>
    <cacheField name="Additional (1)" numFmtId="0">
      <sharedItems containsString="0" containsBlank="1" containsNumber="1" containsInteger="1" minValue="40" maxValue="90"/>
    </cacheField>
    <cacheField name="Additional (2)" numFmtId="0">
      <sharedItems containsString="0" containsBlank="1" containsNumber="1" containsInteger="1" minValue="40" maxValue="45"/>
    </cacheField>
    <cacheField name="Total" numFmtId="0">
      <sharedItems containsString="0" containsBlank="1" containsNumber="1" containsInteger="1" minValue="40" maxValue="2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9.688175462965" createdVersion="8" refreshedVersion="8" minRefreshableVersion="3" recordCount="84" xr:uid="{F3253D06-273F-4C34-9FC2-93C8A9A54193}">
  <cacheSource type="worksheet">
    <worksheetSource ref="A8:J92" sheet="Dataset 45"/>
  </cacheSource>
  <cacheFields count="10">
    <cacheField name="Work Order Date" numFmtId="165">
      <sharedItems containsSemiMixedTypes="0" containsNonDate="0" containsDate="1" containsString="0" minDate="2022-08-01T00:00:00" maxDate="2022-08-07T00:00:00"/>
    </cacheField>
    <cacheField name="Work Order Number" numFmtId="0">
      <sharedItems count="85">
        <s v="NS0062503720"/>
        <s v="NS0062503417"/>
        <s v="NS0062497413"/>
        <s v="NS0062502659"/>
        <s v="NS0062503855"/>
        <s v="NS0062503853"/>
        <s v="NS0062503811"/>
        <s v="NS0062500037"/>
        <s v="NS0062506002"/>
        <s v="NS0062503740"/>
        <s v="NS0062505684"/>
        <s v="NS0062503236"/>
        <s v="NS0062506400"/>
        <s v="NS0062502487"/>
        <s v="NS0062505665"/>
        <s v="NS0062505642"/>
        <s v="NS0062505645"/>
        <s v="NS0062502375"/>
        <s v="NS0062506122"/>
        <s v="NS0062506114"/>
        <s v="NS0062505710"/>
        <s v="NS0062506411"/>
        <s v="NS0062503819"/>
        <s v="NS0062506131"/>
        <s v="NS0062497460"/>
        <s v="NS0062506022"/>
        <s v="NS0062505875"/>
        <s v="NS0062505626"/>
        <s v="NS0062506109"/>
        <s v="NS0062505706"/>
        <s v="NS0062498228"/>
        <s v="NS0062501786"/>
        <s v="NS0062505666"/>
        <s v="NS0062500436"/>
        <s v="NS0062506676"/>
        <s v="NS0062505622"/>
        <s v="NS0062505628"/>
        <s v="NS0062506086"/>
        <s v="NS0062506669"/>
        <s v="NS0062505637"/>
        <s v="NS0062505738"/>
        <s v="NS0062503406"/>
        <s v="NS0062505877"/>
        <s v="NS0062506081"/>
        <s v="NS0062503144"/>
        <s v="NS0062506449"/>
        <s v="NS0062506867"/>
        <s v="NS0062506758"/>
        <s v="NS0062506864"/>
        <s v="NS0062506861"/>
        <s v="NS0062503790"/>
        <s v="NS0062506524"/>
        <s v="NS0062506713"/>
        <s v="NS0062505769"/>
        <s v="NS0062505717"/>
        <s v="NS0062506568"/>
        <s v="NS0062506138"/>
        <s v="NS0062505992"/>
        <s v="NS0062503821"/>
        <s v="NS0062506659"/>
        <s v="NS0062506427"/>
        <s v="NS0062506388"/>
        <s v="NS0062506538"/>
        <s v="NS0062506866"/>
        <s v="NS0062506878"/>
        <s v="NS0062506881"/>
        <s v="NS0062506874"/>
        <s v="NS0062506873"/>
        <s v="NS0062506872"/>
        <s v="NS0062505866"/>
        <s v="NS0062505720"/>
        <s v="NS0062506706"/>
        <s v="NS0062506910"/>
        <s v="NS0062506931"/>
        <s v="NS0062505757"/>
        <s v="NS0062506452"/>
        <s v="NS0062506442"/>
        <s v="NS0062506704"/>
        <s v="NS0062506509"/>
        <s v="NS0062507037"/>
        <s v="NS0062506565"/>
        <s v="NS0062506875"/>
        <s v="NS0062506765"/>
        <s v="NS0062506417"/>
        <s v="NS006498228" u="1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44">
      <sharedItems containsString="0" containsBlank="1" containsNumber="1" containsInteger="1" minValue="40" maxValue="40"/>
    </cacheField>
    <cacheField name="Additional (2)" numFmtId="0">
      <sharedItems containsString="0" containsBlank="1" containsNumber="1" containsInteger="1" minValue="40" maxValue="45"/>
    </cacheField>
    <cacheField name="Total" numFmtId="44">
      <sharedItems containsSemiMixedTypes="0" containsString="0" containsNumber="1" containsInteger="1" minValue="40" maxValue="2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789.696804513886" createdVersion="8" refreshedVersion="8" minRefreshableVersion="3" recordCount="82" xr:uid="{A3D638E8-5ECC-43BC-B16F-063DCEADB929}">
  <cacheSource type="worksheet">
    <worksheetSource ref="A8:J90" sheet="Dataset 42"/>
  </cacheSource>
  <cacheFields count="10">
    <cacheField name="Work Order Date" numFmtId="0">
      <sharedItems/>
    </cacheField>
    <cacheField name="Work Order Number" numFmtId="0">
      <sharedItems count="82">
        <s v="NS0062496908"/>
        <s v="NS0062500341"/>
        <s v="NS0062497572"/>
        <s v="NS0062497565"/>
        <s v="NS0062497569"/>
        <s v="NS0062497640"/>
        <s v="NS0062497639"/>
        <s v="NS0062497595"/>
        <s v="NS0062497996"/>
        <s v="NS0062500451"/>
        <s v="NS0062497041"/>
        <s v="NS0062497580"/>
        <s v="NS0062497532"/>
        <s v="NS0062498023"/>
        <s v="NS0062500479"/>
        <s v="NS0062500448"/>
        <s v="NS0062498192"/>
        <s v="NS0062497477"/>
        <s v="NS0062497597"/>
        <s v="NS0062500722"/>
        <s v="NS0062500713"/>
        <s v="NS0062498029"/>
        <s v="NS0062500718"/>
        <s v="NS0062498045"/>
        <s v="NS0062495789"/>
        <s v="NS0062500367"/>
        <s v="NS0062498200"/>
        <s v="NS0062498206"/>
        <s v="NS0062500721"/>
        <s v="NS0062500527"/>
        <s v="NS0062500449"/>
        <s v="NS0062500065"/>
        <s v="NS0062498133"/>
        <s v="NS0062500684"/>
        <s v="NS0062498145"/>
        <s v="NS0062500507"/>
        <s v="NS0062497995"/>
        <s v="NS0062498269"/>
        <s v="NS0062500467"/>
        <s v="NS0062498196"/>
        <s v="NS0062500549"/>
        <s v="NS0062501207"/>
        <s v="NS0062501278"/>
        <s v="NS0062496983"/>
        <s v="NS0062500337"/>
        <s v="NS0062501076"/>
        <s v="NS0062498015"/>
        <s v="NS0062501065"/>
        <s v="NS0062496942"/>
        <s v="NS0062500497"/>
        <s v="NS0062500666"/>
        <s v="NS0062500488"/>
        <s v="NS0062498002"/>
        <s v="NS0062498576"/>
        <s v="NS0062497191"/>
        <s v="NS0062501230"/>
        <s v="NS0062496943"/>
        <s v="NS0062500671"/>
        <s v="NS0062500329"/>
        <s v="NS0062500047"/>
        <s v="NS0062500072"/>
        <s v="NS0062498017"/>
        <s v="NS0062500700"/>
        <s v="NS0062500525"/>
        <s v="NS0062500522"/>
        <s v="NS0062501323"/>
        <s v="NS0062501071"/>
        <s v="NS0062501067"/>
        <s v="NS0062500506"/>
        <s v="NS0062500504"/>
        <s v="NS0062500599"/>
        <s v="NS0062500724"/>
        <s v="NS0062496727"/>
        <s v="NS0062496984"/>
        <s v="NS0062501327"/>
        <s v="NS0062500535"/>
        <s v="NS0062493337"/>
        <s v="NS0062501201"/>
        <s v="NS0062496553"/>
        <s v="NS0062500382"/>
        <s v="NS0062501081"/>
        <s v="NS0062501101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225"/>
    </cacheField>
    <cacheField name="Additional (1)" numFmtId="44">
      <sharedItems containsString="0" containsBlank="1" containsNumber="1" containsInteger="1" minValue="40" maxValue="45"/>
    </cacheField>
    <cacheField name="Additional (2)" numFmtId="44">
      <sharedItems containsString="0" containsBlank="1" containsNumber="1" containsInteger="1" minValue="40" maxValue="40"/>
    </cacheField>
    <cacheField name="Total" numFmtId="44">
      <sharedItems containsSemiMixedTypes="0" containsString="0" containsNumber="1" containsInteger="1" minValue="40" maxValue="2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04.006979861108" createdVersion="8" refreshedVersion="8" minRefreshableVersion="3" recordCount="130" xr:uid="{5C3E0A56-1DDA-4FD9-BC45-172D1DCDDA58}">
  <cacheSource type="worksheet">
    <worksheetSource ref="A1:J131" sheet="Sheet1" r:id="rId2"/>
  </cacheSource>
  <cacheFields count="10">
    <cacheField name="Work Order Date" numFmtId="0">
      <sharedItems/>
    </cacheField>
    <cacheField name="Work Order Number" numFmtId="0">
      <sharedItems count="128">
        <s v="NS0062507287"/>
        <s v="NS0062507795"/>
        <s v="NS0062507025"/>
        <s v="NS0062507072"/>
        <s v="NS0062508133"/>
        <s v="NS0062508128"/>
        <s v="NS0062506108"/>
        <s v="NS0062507749"/>
        <s v="_x0009_NS0062506587"/>
        <s v="NS0062502289"/>
        <s v="NS0062507489"/>
        <s v="NS0062507648"/>
        <s v="NS0062508140"/>
        <s v="NS0062508054"/>
        <s v="NS0062507279"/>
        <s v="NS0062507070"/>
        <s v="NS0062507550"/>
        <s v="NS0062507716"/>
        <s v="NS0062507319"/>
        <s v="NS0062507160"/>
        <s v="NS0062507778"/>
        <s v="NS0062507194"/>
        <s v="NS0062507221"/>
        <s v="NS0062507275"/>
        <s v="_x0009_NS0062507296"/>
        <s v="NS0062502388"/>
        <s v="_x0009_NS0062507720"/>
        <s v="_x0009_NS0062507766"/>
        <s v="NS0062498214"/>
        <s v="NS0062507662"/>
        <s v="NS0062507490"/>
        <s v="NS0062507258"/>
        <s v="NS0062508094"/>
        <s v="NS0062508160"/>
        <s v="NS0062508158"/>
        <s v="NS0062508031"/>
        <s v="NS0062507497"/>
        <s v="NS0062508016"/>
        <s v="NS0062508165"/>
        <s v="NS0062507797"/>
        <s v="NS0062507481"/>
        <s v="NS0062508159"/>
        <s v="NS0062507073"/>
        <s v="NS0062507509"/>
        <s v="NS0062508002"/>
        <s v="NS0062502312"/>
        <s v="NS0062507739"/>
        <s v="NS0062507521"/>
        <s v="NS0062507499"/>
        <s v="NS0062507796"/>
        <s v="NS0062508023"/>
        <s v="NS0062507931"/>
        <s v="NS0062508035"/>
        <s v="NS0062508057"/>
        <s v="NS0062507520"/>
        <s v="NS0062507952"/>
        <s v="NS0062507229"/>
        <s v="NS0062507525"/>
        <s v="NS0062508116"/>
        <s v="NS0062508321"/>
        <s v="NS0062507800"/>
        <s v="NS0062507784"/>
        <s v="NS0062507767"/>
        <s v="NS0062507972"/>
        <s v="NS0062507672"/>
        <s v="NS0062507502"/>
        <s v="NS0062508066"/>
        <s v="NS0062507495"/>
        <s v="NS0062508171"/>
        <s v="NS0062508206"/>
        <s v="NS0062507787"/>
        <s v="NS0062508202"/>
        <s v="NS0062507967"/>
        <s v="NS0062508022"/>
        <s v="NS0062508176"/>
        <s v="NS0062507941"/>
        <s v="NS0062508134"/>
        <s v="NS0062507519"/>
        <s v="NS0062507649"/>
        <s v="NS0062507469"/>
        <s v="NS0062508026"/>
        <s v="NS0062508253"/>
        <s v="NS0062507814"/>
        <s v="NS0062508365"/>
        <s v="NS0062508408"/>
        <s v="NS0062507790"/>
        <s v="NS0062508352"/>
        <s v="NS0062508485"/>
        <s v="_x0009_NS0062508360"/>
        <s v="NS0062508207"/>
        <s v="NS0062508557"/>
        <s v="NS0062508843"/>
        <s v="NS0062508617"/>
        <s v="NS0062508429"/>
        <s v="NS0062508363"/>
        <s v="NS0062508886"/>
        <s v="NS0062508880"/>
        <s v="NS0062508109"/>
        <s v="NS0062508258"/>
        <s v="NS0062508506"/>
        <s v="NS0062508256"/>
        <s v="NS0062508846"/>
        <s v="NS0062508208"/>
        <s v="NS0062508545"/>
        <s v="NS0062508616"/>
        <s v="NS0062508540"/>
        <s v="NS0062508389"/>
        <s v="NS0062508384"/>
        <s v="_x0009_NS0062508554"/>
        <s v="NS0062507740"/>
        <s v="NS0062508632"/>
        <s v="_x0009_NS0062508066"/>
        <s v="NS0062508075"/>
        <s v="_x0009_NS0062508083"/>
        <s v="NS0062508792"/>
        <s v="NS0062508216"/>
        <s v="NS0062508560"/>
        <s v="NS0062508047"/>
        <s v="NS0062508904"/>
        <s v="NS0062507259"/>
        <s v="NS0062508928"/>
        <s v="NS0062508758"/>
        <s v="NS0062508217"/>
        <s v="NS0062508794"/>
        <s v="NS0062508551"/>
        <s v="NS0062508219"/>
        <s v="NS0062508802"/>
        <s v="NS0062508382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0">
      <sharedItems containsString="0" containsBlank="1" containsNumber="1" containsInteger="1" minValue="40" maxValue="90"/>
    </cacheField>
    <cacheField name="Additional (2)" numFmtId="0">
      <sharedItems containsString="0" containsBlank="1" containsNumber="1" containsInteger="1" minValue="30" maxValue="90"/>
    </cacheField>
    <cacheField name="Total" numFmtId="44">
      <sharedItems containsSemiMixedTypes="0" containsString="0" containsNumber="1" containsInteger="1" minValue="40" maxValue="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04.469926273145" createdVersion="8" refreshedVersion="8" minRefreshableVersion="3" recordCount="119" xr:uid="{22D34942-6ACF-4D96-A3E7-888F911D5474}">
  <cacheSource type="worksheet">
    <worksheetSource ref="A1:J120" sheet="Invoice" r:id="rId2"/>
  </cacheSource>
  <cacheFields count="10">
    <cacheField name="Work Order Date" numFmtId="0">
      <sharedItems/>
    </cacheField>
    <cacheField name="Work Order Number" numFmtId="0">
      <sharedItems count="114">
        <s v="NS0062508361"/>
        <s v="NS0062509085"/>
        <s v="NS0062508224"/>
        <s v="NS0062508353"/>
        <s v="NS0062507505"/>
        <s v="NS0062508204"/>
        <s v="NS0062508107"/>
        <s v="NS0062508357"/>
        <s v="NS0062508380"/>
        <s v="NS0062507909"/>
        <s v="NS0062508244"/>
        <s v="NS0062508257"/>
        <s v="NS0062508340"/>
        <s v="NS0062507465"/>
        <s v="NS0062508221"/>
        <s v="NS0062508222"/>
        <s v="NS0062508619"/>
        <s v="NS0062508218"/>
        <s v="NS0062508223"/>
        <s v="NS0062507793"/>
        <s v="NS0062508937"/>
        <s v="NS0062508555"/>
        <s v="NS0062506942"/>
        <s v="NS0062508744"/>
        <s v="NS0062508800"/>
        <s v="NS0062508398"/>
        <s v="NS0062508803"/>
        <s v="NS0062509316"/>
        <s v="NS0062509345"/>
        <s v="NS0062508861"/>
        <s v="NS0062508830"/>
        <s v="NS0062506651"/>
        <s v="NS0062508213"/>
        <s v="NS0062508395"/>
        <s v="NS0062508537"/>
        <s v="NS0062508470"/>
        <s v="NS0062508427"/>
        <s v="NS0062508497"/>
        <s v="NS0062508392"/>
        <s v="NS0062508515"/>
        <s v="NS0062508636"/>
        <s v="NS0062508500"/>
        <s v="NS0062509370"/>
        <s v="NS0062509375"/>
        <s v="NS0062508058"/>
        <s v="NS0062509097"/>
        <s v="NS0062508640"/>
        <s v="NS0062508838"/>
        <s v="NS0062506876"/>
        <s v="NS0062509010"/>
        <s v="NS0062508796"/>
        <s v="NS0062508562"/>
        <s v="NS0062506951"/>
        <s v="NS0062508872"/>
        <s v="NS0062509098"/>
        <s v="NS0062509045"/>
        <s v="NS0062509099"/>
        <s v="NS0062507253"/>
        <s v="NS0062508934"/>
        <s v="NS0062509042"/>
        <s v="NS0062508804"/>
        <s v="NS0062508519"/>
        <s v="_x0009_NS0062507967"/>
        <s v="NS0062508151"/>
        <s v="NS0062509331"/>
        <s v="NS0062509977"/>
        <s v="NS0062509393"/>
        <s v="NS0062507717"/>
        <s v="NS0062508971"/>
        <s v="NS0062509391"/>
        <s v="NS0062506847"/>
        <s v="NS0062509183"/>
        <s v="NS0062509201"/>
        <s v="NS0062508862"/>
        <s v="NS0062509379"/>
        <s v="_x0009_NS0062509011"/>
        <s v="NS0062508985"/>
        <s v="_x0009_NS0062509390"/>
        <s v="NS0062509384"/>
        <s v="_x0009_NS0062509474"/>
        <s v="NS0062508924"/>
        <s v="_x0009_NS0062507674"/>
        <s v="_x0009_NS0062509396"/>
        <s v="NS0062510059"/>
        <s v="NS0062509558"/>
        <s v="NS0062510299"/>
        <s v="NS0062507477"/>
        <s v="NS0062507785"/>
        <s v="NS0062507782"/>
        <s v="NS0062507779"/>
        <s v="NS0062507777"/>
        <s v="NS0062510047"/>
        <s v="NS0062508083"/>
        <s v="NS0062509061"/>
        <s v="NS0062509535"/>
        <s v="NS0062509525"/>
        <s v="NS0062510129"/>
        <s v="NS0062509514"/>
        <s v="_x0009_NS0062506976"/>
        <s v="NS0062509554"/>
        <s v="_x0009_NS0062509537"/>
        <s v="_x0009_NS0062508216"/>
        <s v="NS0062509570"/>
        <s v="_x0009_NS0062509566"/>
        <s v="_x0009_NS0062509546"/>
        <s v="NS0062508936"/>
        <s v="NS0062509421"/>
        <s v="NS0062509070"/>
        <s v="NS0062508216"/>
        <s v="NS0062509054"/>
        <s v="NS0062509613"/>
        <s v="NS0062509310"/>
        <s v="NS0062509573"/>
        <s v="NS0062508633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0">
      <sharedItems containsString="0" containsBlank="1" containsNumber="1" containsInteger="1" minValue="40" maxValue="90"/>
    </cacheField>
    <cacheField name="Additional (2)" numFmtId="0">
      <sharedItems containsString="0" containsBlank="1" containsNumber="1" containsInteger="1" minValue="30" maxValue="225"/>
    </cacheField>
    <cacheField name="Total" numFmtId="44">
      <sharedItems containsSemiMixedTypes="0" containsString="0" containsNumber="1" containsInteger="1" minValue="40" maxValue="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15.703443402781" createdVersion="8" refreshedVersion="8" minRefreshableVersion="3" recordCount="102" xr:uid="{A6C3DFB4-9BFD-4974-96EE-65DFAEE431AF}">
  <cacheSource type="worksheet">
    <worksheetSource ref="A8:J110" sheet="Invoice" r:id="rId2"/>
  </cacheSource>
  <cacheFields count="10">
    <cacheField name="Work Order Date" numFmtId="0">
      <sharedItems/>
    </cacheField>
    <cacheField name="Work Order Number" numFmtId="0">
      <sharedItems count="101">
        <s v="NS0062510379"/>
        <s v="NS0062508139"/>
        <s v="NS0062510399"/>
        <s v="NS0062509310"/>
        <s v="Ns0062509474"/>
        <s v="NS0062509074"/>
        <s v="NS0062510001"/>
        <s v="NS0062510312"/>
        <s v="BS0062510317"/>
        <s v="NS0062509572"/>
        <s v="NS0062510000"/>
        <s v="NS0062509096"/>
        <s v="NS0062509378"/>
        <s v="INC000007967306"/>
        <s v="NS0062509386"/>
        <s v="NS0062509458"/>
        <s v="_x0009_NS0062510109"/>
        <s v="NS0062509411"/>
        <s v="NS0062509053"/>
        <s v="NS0062510095"/>
        <s v="NS0062510375"/>
        <s v="Ns0062510165"/>
        <s v="NS0062510394"/>
        <s v="NS0062509555"/>
        <s v="NS0062510524"/>
        <s v="NS0063509515"/>
        <s v="NS0062510106"/>
        <s v="NS0062507503"/>
        <s v="NS0062510011"/>
        <s v="NS0062510057"/>
        <s v="NS0062508892"/>
        <s v="NS0062508898"/>
        <s v="NS0062510761"/>
        <s v="NS0062510062"/>
        <s v="NS0062510354"/>
        <s v="NS0062510682"/>
        <s v="NS0062509524"/>
        <s v="NS0062507581"/>
        <s v="NS0062510130"/>
        <s v="NS0062509595"/>
        <s v="NS0062510131"/>
        <s v="NS0062508535"/>
        <s v="_x0009_NS0062509498"/>
        <s v="NS0062509416"/>
        <s v="NS0062510321"/>
        <s v="NS0062510749"/>
        <s v="NS0062510577"/>
        <s v="NS0062510552"/>
        <s v="NS0062507458"/>
        <s v="NS0062520604"/>
        <s v="NS0062508207"/>
        <s v="NS0062510315"/>
        <s v="NS0062510105"/>
        <s v="NS0062510107"/>
        <s v="NS0062510507"/>
        <s v="_x0009_NS0062510098"/>
        <s v="_x0009_NS0062510548"/>
        <s v="NS0062506802"/>
        <s v="NS0062510611"/>
        <s v="NS0062510778"/>
        <s v="NS0062510067"/>
        <s v="NS0062510362"/>
        <s v="NS0062510341"/>
        <s v="NS0062510385"/>
        <s v="NS0062510035"/>
        <s v="NS0062510403"/>
        <s v="NS0062510045"/>
        <s v="NS0062510049"/>
        <s v="NS0062510351"/>
        <s v="NS0062508125"/>
        <s v="NS0062510009"/>
        <s v="NS0062510416"/>
        <s v="NS0062510422"/>
        <s v="Ns0062507773"/>
        <s v="NS0062510397"/>
        <s v="NS0062509997"/>
        <s v="_x0009_NS0062510103"/>
        <s v="_x0009_NS0062510342"/>
        <s v="NS0062501652"/>
        <s v="_x0009_NS0062510447"/>
        <s v="NS0062510567"/>
        <s v="_x0009_NS0062510981"/>
        <s v="NS0062510365"/>
        <s v="_x0009_NS0062510609"/>
        <s v="NS0062510688"/>
        <s v="NS0062510985"/>
        <s v="NS0062510747"/>
        <s v="NS0062510324"/>
        <s v="NS0062510568"/>
        <s v="NS0062510574"/>
        <s v="_x0009_NS0062510614"/>
        <s v="_x0009_NS0062510696"/>
        <s v="_x0009_NS0062509612"/>
        <s v="_x0009_NS0062510693"/>
        <s v="_x0009_NS0062510398"/>
        <s v="_x0009_NS0062510573"/>
        <s v="_x0009_NS0062509310"/>
        <s v="_x0009_NS0062510750"/>
        <s v="_x0009_NS0062510400"/>
        <s v="_x0009_NS0062510727"/>
        <s v="NS0062510400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40" maxValue="185"/>
    </cacheField>
    <cacheField name="Additional (1)" numFmtId="44">
      <sharedItems containsString="0" containsBlank="1" containsNumber="1" containsInteger="1" minValue="30" maxValue="90"/>
    </cacheField>
    <cacheField name="Additional (2)" numFmtId="44">
      <sharedItems containsString="0" containsBlank="1" containsNumber="1" containsInteger="1" minValue="30" maxValue="90"/>
    </cacheField>
    <cacheField name="Total" numFmtId="44">
      <sharedItems containsSemiMixedTypes="0" containsString="0" containsNumber="1" containsInteger="1" minValue="40" maxValue="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n Muhammad" refreshedDate="44815.82718414352" createdVersion="8" refreshedVersion="8" minRefreshableVersion="3" recordCount="85" xr:uid="{8151D5FC-C3DC-480E-9D6F-E3984FC87064}">
  <cacheSource type="worksheet">
    <worksheetSource ref="A8:J93" sheet="INVOICES" r:id="rId2"/>
  </cacheSource>
  <cacheFields count="10">
    <cacheField name="Work Order Date" numFmtId="0">
      <sharedItems/>
    </cacheField>
    <cacheField name="Work Order Number" numFmtId="0">
      <sharedItems count="82">
        <s v="NS0062506538"/>
        <s v="NS0062510965"/>
        <s v="NS0062510403"/>
        <s v="NS0063510950"/>
        <s v="NS0062509564"/>
        <s v="NS0062510118"/>
        <s v="NS0062509561"/>
        <s v="NS0062510784"/>
        <s v="NS0062509549"/>
        <s v="NS0062510796"/>
        <s v="NS0062509547"/>
        <s v="NS0062510989"/>
        <s v="NS0062510686"/>
        <s v="NS0062510313"/>
        <s v="NS0063511051"/>
        <s v="NS0062508861"/>
        <s v="_x0009_NS0062511071"/>
        <s v="NS0062511046"/>
        <s v="NS0062511061"/>
        <s v="NS0062510948"/>
        <s v="NS0062510904"/>
        <s v="NS0062510649"/>
        <s v="NS0062509341"/>
        <s v="_x0009_NS0062511042"/>
        <s v="NS0062510720"/>
        <s v="NS0062510736"/>
        <s v="_x0009_NS0062510734"/>
        <s v="_x0009_NS0062510362"/>
        <s v="NS0062511297"/>
        <s v="_x0009_NS0062508744"/>
        <s v="NS0062510789"/>
        <s v="NS0062510311"/>
        <s v="NS0062511461"/>
        <s v="NS0062511074"/>
        <s v="NS0062511381"/>
        <s v="NS0062510984"/>
        <s v="NS0062511304"/>
        <s v="NS0062511056"/>
        <s v="NS0062511384"/>
        <s v="NS0062508021"/>
        <s v="WFM000002611106"/>
        <s v="NS0062511024"/>
        <s v="NS0062510346"/>
        <s v="NS0062510626"/>
        <s v="NS0062509556"/>
        <s v="NS0062511237"/>
        <s v="NS0062511065"/>
        <s v="NS0062511053"/>
        <s v="NS0062511030"/>
        <s v="NS0062511108"/>
        <s v="NS0062511848"/>
        <s v="NS0063511439"/>
        <s v="NS0062511377"/>
        <s v="NS0062511318"/>
        <s v="NS0062511486"/>
        <s v="NS0062510758"/>
        <s v="NS0062510954"/>
        <s v="NS0062511041"/>
        <s v="NS0062511022"/>
        <s v="NS0062512102"/>
        <s v="NS0062510419"/>
        <s v="NS0062512031"/>
        <s v="NS0062510315"/>
        <s v="NS0062511375"/>
        <s v="Ns0062511692"/>
        <s v="NS0062511433"/>
        <s v="NS0062511106"/>
        <s v="NS0062511446"/>
        <s v="NS0062511427"/>
        <s v="NS0062511027"/>
        <s v="NS0062508805"/>
        <s v="NS0062511330"/>
        <s v="_x0009_NS0062511477"/>
        <s v="_x0009_NS0062510675"/>
        <s v="_x0009_NS0062511575"/>
        <s v="NS0062510962"/>
        <s v="_x0009_NS0062511234"/>
        <s v="NS0062512074"/>
        <s v="NS0062510324"/>
        <s v="NS0062511447"/>
        <s v="NS0062511415"/>
        <s v="NS0062510961"/>
      </sharedItems>
    </cacheField>
    <cacheField name="Tech Name" numFmtId="0">
      <sharedItems/>
    </cacheField>
    <cacheField name="Base Work Order Type" numFmtId="0">
      <sharedItems/>
    </cacheField>
    <cacheField name="Additional Work Performed (Not On Order)" numFmtId="0">
      <sharedItems containsBlank="1"/>
    </cacheField>
    <cacheField name="Additional Work Performed (Not On Order)2" numFmtId="0">
      <sharedItems containsBlank="1"/>
    </cacheField>
    <cacheField name="Base Work Order" numFmtId="44">
      <sharedItems containsSemiMixedTypes="0" containsString="0" containsNumber="1" containsInteger="1" minValue="5" maxValue="185"/>
    </cacheField>
    <cacheField name="Additional (1)" numFmtId="44">
      <sharedItems containsString="0" containsBlank="1" containsNumber="1" containsInteger="1" minValue="40" maxValue="90"/>
    </cacheField>
    <cacheField name="Additional (2)" numFmtId="0">
      <sharedItems containsString="0" containsBlank="1" containsNumber="1" containsInteger="1" minValue="45" maxValue="90"/>
    </cacheField>
    <cacheField name="Total" numFmtId="44">
      <sharedItems containsSemiMixedTypes="0" containsString="0" containsNumber="1" containsInteger="1" minValue="40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s v="Chris Ambler"/>
    <s v="SINGLE PLAY"/>
    <s v="CONNECTED HOME NETWORK"/>
    <m/>
    <n v="125"/>
    <n v="40"/>
    <m/>
    <n v="165"/>
  </r>
  <r>
    <x v="0"/>
    <x v="1"/>
    <s v="Remington Taylor"/>
    <s v="SINGLE PLAY"/>
    <m/>
    <m/>
    <n v="125"/>
    <m/>
    <m/>
    <n v="125"/>
  </r>
  <r>
    <x v="0"/>
    <x v="2"/>
    <s v="Remington Taylor"/>
    <s v="EMTA CONVERSION INCLUDING SCHEDULING WITH THE CUSTOMER"/>
    <m/>
    <m/>
    <n v="85"/>
    <m/>
    <m/>
    <n v="85"/>
  </r>
  <r>
    <x v="0"/>
    <x v="3"/>
    <s v="Chris Ambler"/>
    <s v="SINGLE PLAY"/>
    <s v="CONNECTED HOME NETWORK"/>
    <m/>
    <n v="125"/>
    <n v="40"/>
    <m/>
    <n v="165"/>
  </r>
  <r>
    <x v="0"/>
    <x v="4"/>
    <s v="Chris Ambler"/>
    <s v="SINGLE PLAY"/>
    <s v="CONNECTED HOME NETWORK"/>
    <m/>
    <n v="125"/>
    <n v="40"/>
    <m/>
    <n v="165"/>
  </r>
  <r>
    <x v="0"/>
    <x v="5"/>
    <s v="Remington Taylor"/>
    <s v="SINGLE PLAY MDU"/>
    <s v="CONNECTED HOME NETWORK"/>
    <m/>
    <n v="85"/>
    <n v="40"/>
    <m/>
    <n v="125"/>
  </r>
  <r>
    <x v="0"/>
    <x v="6"/>
    <s v="Chris Ambler"/>
    <s v="DOUBLE PLAY MDU"/>
    <m/>
    <s v="CONNECTED HOME NETWORK"/>
    <n v="105"/>
    <m/>
    <n v="40"/>
    <n v="145"/>
  </r>
  <r>
    <x v="0"/>
    <x v="7"/>
    <s v="Remington Taylor"/>
    <s v="DOUBLE PLAY"/>
    <m/>
    <m/>
    <n v="155"/>
    <m/>
    <m/>
    <n v="155"/>
  </r>
  <r>
    <x v="0"/>
    <x v="8"/>
    <s v="Chris Ambler"/>
    <s v="SINGLE PLAY"/>
    <s v="CONNECTED HOME NETWORK"/>
    <m/>
    <n v="125"/>
    <n v="40"/>
    <m/>
    <n v="165"/>
  </r>
  <r>
    <x v="0"/>
    <x v="9"/>
    <s v="Remington Taylor"/>
    <s v="TRIP CHARGE"/>
    <m/>
    <m/>
    <n v="40"/>
    <m/>
    <m/>
    <n v="40"/>
  </r>
  <r>
    <x v="0"/>
    <x v="10"/>
    <s v="Chris Ambler"/>
    <s v="DOUBLE PLAY MDU"/>
    <m/>
    <s v="CONNECTED HOME NETWORK"/>
    <n v="105"/>
    <m/>
    <n v="40"/>
    <n v="145"/>
  </r>
  <r>
    <x v="0"/>
    <x v="11"/>
    <s v="Chris Ambler"/>
    <s v="SINGLE PLAY MDU"/>
    <s v="CONNECTED HOME NETWORK"/>
    <m/>
    <n v="85"/>
    <n v="40"/>
    <m/>
    <n v="125"/>
  </r>
  <r>
    <x v="0"/>
    <x v="12"/>
    <s v="kevin Jackson"/>
    <s v="TRIP CHARGE"/>
    <m/>
    <m/>
    <n v="40"/>
    <m/>
    <m/>
    <n v="40"/>
  </r>
  <r>
    <x v="0"/>
    <x v="13"/>
    <s v="kevin Jackson"/>
    <s v="SINGLE PLAY"/>
    <s v="CONNECTED HOME NETWORK"/>
    <m/>
    <n v="125"/>
    <n v="40"/>
    <m/>
    <n v="165"/>
  </r>
  <r>
    <x v="1"/>
    <x v="14"/>
    <s v="kevin Jackson"/>
    <s v="DOUBLE PLAY"/>
    <s v="CONNECTED HOME NETWORK"/>
    <m/>
    <n v="155"/>
    <n v="40"/>
    <m/>
    <n v="195"/>
  </r>
  <r>
    <x v="1"/>
    <x v="15"/>
    <s v="Marcus Martin"/>
    <s v="SINGLE PLAY"/>
    <s v="CONNECTED HOME NETWORK"/>
    <m/>
    <n v="125"/>
    <n v="40"/>
    <m/>
    <n v="165"/>
  </r>
  <r>
    <x v="1"/>
    <x v="16"/>
    <s v="Marcus Martin"/>
    <s v="SINGLE PLAY MDU"/>
    <m/>
    <m/>
    <n v="85"/>
    <m/>
    <m/>
    <n v="85"/>
  </r>
  <r>
    <x v="1"/>
    <x v="17"/>
    <s v="Marcus Martin"/>
    <s v="SINGLE PLAY"/>
    <s v="CONNECTED HOME NETWORK"/>
    <m/>
    <n v="125"/>
    <n v="40"/>
    <m/>
    <n v="165"/>
  </r>
  <r>
    <x v="1"/>
    <x v="18"/>
    <s v="Marcus Martin"/>
    <s v="SINGLE PLAY"/>
    <s v="CONNECTED HOME NETWORK"/>
    <m/>
    <n v="125"/>
    <n v="40"/>
    <m/>
    <n v="165"/>
  </r>
  <r>
    <x v="1"/>
    <x v="19"/>
    <s v="Chris Ambler"/>
    <s v="SINGLE PLAY MDU"/>
    <m/>
    <m/>
    <n v="85"/>
    <m/>
    <m/>
    <n v="85"/>
  </r>
  <r>
    <x v="1"/>
    <x v="20"/>
    <s v="Chris Ambler"/>
    <s v="TRIPLE PLAY MDU"/>
    <m/>
    <s v="CONNECTED HOME NETWORK"/>
    <n v="125"/>
    <m/>
    <n v="40"/>
    <n v="165"/>
  </r>
  <r>
    <x v="1"/>
    <x v="21"/>
    <s v="Chris Ambler"/>
    <s v="SINGLE PLAY MDU"/>
    <m/>
    <m/>
    <n v="85"/>
    <m/>
    <m/>
    <n v="85"/>
  </r>
  <r>
    <x v="1"/>
    <x v="22"/>
    <s v="Chris Ambler"/>
    <s v="DOUBLE PLAY MDU"/>
    <m/>
    <s v="CONNECTED HOME NETWORK"/>
    <n v="105"/>
    <m/>
    <n v="40"/>
    <n v="145"/>
  </r>
  <r>
    <x v="1"/>
    <x v="23"/>
    <s v="Remington Taylor"/>
    <s v="TRIPLE PLAY MDU"/>
    <s v="CONNECTED HOME NETWORK"/>
    <m/>
    <n v="125"/>
    <n v="40"/>
    <m/>
    <n v="165"/>
  </r>
  <r>
    <x v="1"/>
    <x v="24"/>
    <s v="Remington Taylor"/>
    <s v="TRIP CHARGE"/>
    <m/>
    <m/>
    <n v="40"/>
    <m/>
    <m/>
    <n v="40"/>
  </r>
  <r>
    <x v="1"/>
    <x v="25"/>
    <s v="Remington Taylor"/>
    <s v="SINGLE PLAY MDU"/>
    <m/>
    <m/>
    <n v="85"/>
    <m/>
    <m/>
    <n v="85"/>
  </r>
  <r>
    <x v="1"/>
    <x v="26"/>
    <s v="Chris Ambler"/>
    <s v="SINGLE PLAY"/>
    <s v="CONNECTED HOME NETWORK"/>
    <m/>
    <n v="125"/>
    <n v="40"/>
    <m/>
    <n v="165"/>
  </r>
  <r>
    <x v="1"/>
    <x v="27"/>
    <s v="Remington Taylor"/>
    <s v="TRIP CHARGE"/>
    <m/>
    <m/>
    <n v="40"/>
    <m/>
    <m/>
    <n v="40"/>
  </r>
  <r>
    <x v="1"/>
    <x v="28"/>
    <s v="Remington Taylor"/>
    <s v="SINGLE PLAY"/>
    <m/>
    <m/>
    <n v="125"/>
    <m/>
    <m/>
    <n v="125"/>
  </r>
  <r>
    <x v="1"/>
    <x v="29"/>
    <s v="Chris Ambler"/>
    <s v="SINGLE PLAY"/>
    <s v="CONNECTED HOME NETWORK"/>
    <m/>
    <n v="125"/>
    <n v="40"/>
    <m/>
    <n v="165"/>
  </r>
  <r>
    <x v="1"/>
    <x v="30"/>
    <s v="kevin Jackson"/>
    <s v="EMTA CONVERSION INCLUDING SCHEDULING"/>
    <m/>
    <m/>
    <n v="85"/>
    <m/>
    <m/>
    <n v="85"/>
  </r>
  <r>
    <x v="1"/>
    <x v="31"/>
    <s v="kevin Jackson"/>
    <s v="DOUBLE PLAY MDU"/>
    <m/>
    <s v="CONNECTED HOME NETWORK"/>
    <n v="105"/>
    <m/>
    <n v="40"/>
    <n v="145"/>
  </r>
  <r>
    <x v="1"/>
    <x v="32"/>
    <s v="kevin Jackson"/>
    <s v="SINGLE PLAY"/>
    <m/>
    <m/>
    <n v="125"/>
    <m/>
    <m/>
    <n v="125"/>
  </r>
  <r>
    <x v="1"/>
    <x v="33"/>
    <s v="kevin Jackson"/>
    <s v="DOUBLE PLAY MDU"/>
    <m/>
    <m/>
    <n v="105"/>
    <m/>
    <m/>
    <n v="105"/>
  </r>
  <r>
    <x v="2"/>
    <x v="34"/>
    <s v="Chris Ambler"/>
    <s v="SINGLE PLAY"/>
    <m/>
    <m/>
    <n v="125"/>
    <m/>
    <m/>
    <n v="125"/>
  </r>
  <r>
    <x v="2"/>
    <x v="35"/>
    <s v="kevin Jackson"/>
    <s v="EMTA CONVERSION INCLUDING SCHEDULING"/>
    <m/>
    <m/>
    <n v="85"/>
    <m/>
    <m/>
    <n v="85"/>
  </r>
  <r>
    <x v="2"/>
    <x v="36"/>
    <s v="Remington Taylor"/>
    <s v="DOUBLE PLAY MDU"/>
    <s v="CONNECTED HOME NETWORK"/>
    <m/>
    <n v="105"/>
    <n v="40"/>
    <m/>
    <n v="145"/>
  </r>
  <r>
    <x v="2"/>
    <x v="37"/>
    <s v="Chris Ambler"/>
    <s v="SINGLE PLAY"/>
    <s v="CONNECTED HOME NETWORK"/>
    <m/>
    <n v="125"/>
    <n v="40"/>
    <m/>
    <n v="165"/>
  </r>
  <r>
    <x v="2"/>
    <x v="38"/>
    <s v="Remington Taylor"/>
    <s v="SINGLE PLAY"/>
    <m/>
    <m/>
    <n v="125"/>
    <m/>
    <m/>
    <n v="125"/>
  </r>
  <r>
    <x v="2"/>
    <x v="39"/>
    <s v="Chris Ambler"/>
    <s v="SINGLE PLAY"/>
    <s v="NEW OUTLET INCLUDING BATTERY OUTLET/CAT 5"/>
    <s v="CONNECTED HOME NETWORK"/>
    <n v="125"/>
    <n v="45"/>
    <n v="40"/>
    <n v="210"/>
  </r>
  <r>
    <x v="2"/>
    <x v="40"/>
    <s v="Remington Taylor"/>
    <s v="SINGLE PLAY"/>
    <m/>
    <m/>
    <n v="125"/>
    <m/>
    <m/>
    <n v="125"/>
  </r>
  <r>
    <x v="2"/>
    <x v="41"/>
    <s v="Chris Ambler"/>
    <s v="SINGLE PLAY"/>
    <s v="CONNECTED HOME NETWORK"/>
    <m/>
    <n v="125"/>
    <n v="40"/>
    <m/>
    <n v="165"/>
  </r>
  <r>
    <x v="2"/>
    <x v="42"/>
    <s v="Remington Taylor"/>
    <s v="SINGLE PLAY"/>
    <s v="CONNECTED HOME NETWORK"/>
    <m/>
    <n v="125"/>
    <n v="40"/>
    <m/>
    <n v="165"/>
  </r>
  <r>
    <x v="2"/>
    <x v="43"/>
    <s v="kevin Jackson"/>
    <s v="TRIP CHARGE"/>
    <m/>
    <m/>
    <n v="40"/>
    <m/>
    <m/>
    <n v="40"/>
  </r>
  <r>
    <x v="2"/>
    <x v="44"/>
    <s v="kevin Jackson"/>
    <s v="TRIP CHARGE"/>
    <m/>
    <m/>
    <n v="40"/>
    <m/>
    <m/>
    <n v="40"/>
  </r>
  <r>
    <x v="3"/>
    <x v="45"/>
    <s v="Chris Ambler"/>
    <s v="SINGLE PLAY MDU"/>
    <m/>
    <m/>
    <n v="85"/>
    <m/>
    <m/>
    <n v="85"/>
  </r>
  <r>
    <x v="3"/>
    <x v="46"/>
    <s v="Chris Ambler"/>
    <s v="SINGLE PLAY MDU"/>
    <m/>
    <m/>
    <n v="85"/>
    <m/>
    <m/>
    <n v="85"/>
  </r>
  <r>
    <x v="3"/>
    <x v="47"/>
    <s v="Remington Taylor"/>
    <s v="SINGLE PLAY"/>
    <m/>
    <m/>
    <n v="125"/>
    <m/>
    <m/>
    <n v="125"/>
  </r>
  <r>
    <x v="3"/>
    <x v="48"/>
    <s v="Chris Ambler"/>
    <s v="SINGLE PLAY MDU"/>
    <m/>
    <s v="CONNECTED HOME NETWORK"/>
    <n v="85"/>
    <m/>
    <n v="40"/>
    <n v="125"/>
  </r>
  <r>
    <x v="3"/>
    <x v="49"/>
    <s v="kevin Jackson"/>
    <s v="DOUBLE PLAY"/>
    <m/>
    <s v="CONNECTED HOME NETWORK"/>
    <n v="155"/>
    <m/>
    <n v="40"/>
    <n v="195"/>
  </r>
  <r>
    <x v="3"/>
    <x v="50"/>
    <s v="Marcus Martin"/>
    <s v="SINGLE PLAY"/>
    <m/>
    <m/>
    <n v="125"/>
    <m/>
    <m/>
    <n v="125"/>
  </r>
  <r>
    <x v="3"/>
    <x v="51"/>
    <s v="Marcus Martin"/>
    <s v="DOUBLE PLAY"/>
    <s v="CONNECTED HOME NETWORK"/>
    <m/>
    <n v="155"/>
    <n v="40"/>
    <m/>
    <n v="195"/>
  </r>
  <r>
    <x v="3"/>
    <x v="52"/>
    <s v="Remington Taylor"/>
    <s v="SINGLE PLAY"/>
    <s v="CONNECTED HOME NETWORK"/>
    <m/>
    <n v="125"/>
    <n v="40"/>
    <m/>
    <n v="165"/>
  </r>
  <r>
    <x v="3"/>
    <x v="53"/>
    <s v="Chris Ambler"/>
    <s v="SINGLE PLAY"/>
    <m/>
    <m/>
    <n v="125"/>
    <m/>
    <m/>
    <n v="125"/>
  </r>
  <r>
    <x v="3"/>
    <x v="54"/>
    <s v="kevin Jackson"/>
    <s v="TRIPLE PLAY"/>
    <m/>
    <s v="CONNECTED HOME NETWORK"/>
    <n v="185"/>
    <m/>
    <n v="40"/>
    <n v="225"/>
  </r>
  <r>
    <x v="3"/>
    <x v="55"/>
    <s v="Remington Taylor"/>
    <s v="SINGLE PLAY MDU"/>
    <s v="CONNECTED HOME NETWORK"/>
    <m/>
    <n v="85"/>
    <n v="40"/>
    <m/>
    <n v="125"/>
  </r>
  <r>
    <x v="3"/>
    <x v="56"/>
    <s v="Chris Ambler"/>
    <s v="SINGLE PLAY"/>
    <m/>
    <s v="CONNECTED HOME NETWORK"/>
    <n v="125"/>
    <m/>
    <n v="40"/>
    <n v="165"/>
  </r>
  <r>
    <x v="3"/>
    <x v="57"/>
    <s v="Remington Taylor"/>
    <s v="TRIP CHARGE"/>
    <m/>
    <m/>
    <n v="40"/>
    <m/>
    <m/>
    <n v="40"/>
  </r>
  <r>
    <x v="4"/>
    <x v="58"/>
    <s v="Marcus Martin"/>
    <s v="SINGLE PLAY"/>
    <s v="CONNECTED HOME NETWORK"/>
    <m/>
    <n v="125"/>
    <n v="40"/>
    <m/>
    <n v="165"/>
  </r>
  <r>
    <x v="4"/>
    <x v="59"/>
    <s v="Marcus Martin"/>
    <s v="SINGLE PLAY"/>
    <s v="CONNECTED HOME NETWORK"/>
    <m/>
    <n v="125"/>
    <n v="40"/>
    <m/>
    <n v="165"/>
  </r>
  <r>
    <x v="4"/>
    <x v="60"/>
    <s v="Marcus Martin"/>
    <s v="SINGLE PLAY"/>
    <m/>
    <m/>
    <n v="125"/>
    <m/>
    <m/>
    <n v="125"/>
  </r>
  <r>
    <x v="4"/>
    <x v="61"/>
    <s v="Marcus Martin"/>
    <s v="SINGLE PLAY"/>
    <s v="CONNECTED HOME NETWORK"/>
    <m/>
    <n v="125"/>
    <n v="40"/>
    <m/>
    <n v="165"/>
  </r>
  <r>
    <x v="4"/>
    <x v="62"/>
    <s v="Chris Ambler"/>
    <s v="DOUBLE PLAY MDU"/>
    <s v="CONNECTED HOME NETWORK"/>
    <m/>
    <n v="105"/>
    <m/>
    <n v="40"/>
    <n v="145"/>
  </r>
  <r>
    <x v="4"/>
    <x v="63"/>
    <s v="Chris Ambler"/>
    <s v="SINGLE PLAY MDU"/>
    <m/>
    <m/>
    <n v="85"/>
    <m/>
    <m/>
    <n v="85"/>
  </r>
  <r>
    <x v="4"/>
    <x v="64"/>
    <s v="kevin Jackson"/>
    <s v="SINGLE PLAY"/>
    <s v="CONNECTED HOME NETWORK"/>
    <m/>
    <n v="125"/>
    <m/>
    <n v="40"/>
    <n v="165"/>
  </r>
  <r>
    <x v="4"/>
    <x v="65"/>
    <s v="Remington Taylor"/>
    <s v="SINGLE PLAY"/>
    <s v="CONNECTED HOME NETWORK"/>
    <m/>
    <n v="125"/>
    <n v="40"/>
    <m/>
    <n v="165"/>
  </r>
  <r>
    <x v="4"/>
    <x v="66"/>
    <s v="Chris Ambler"/>
    <s v="SINGLE PLAY MDU"/>
    <m/>
    <m/>
    <n v="85"/>
    <m/>
    <m/>
    <n v="85"/>
  </r>
  <r>
    <x v="4"/>
    <x v="67"/>
    <s v="Chris Ambler"/>
    <s v="SINGLE PLAY MDU"/>
    <m/>
    <m/>
    <n v="85"/>
    <m/>
    <m/>
    <n v="85"/>
  </r>
  <r>
    <x v="4"/>
    <x v="68"/>
    <s v="Chris Ambler"/>
    <s v="SINGLE PLAY MDU"/>
    <m/>
    <m/>
    <n v="85"/>
    <m/>
    <m/>
    <n v="85"/>
  </r>
  <r>
    <x v="4"/>
    <x v="69"/>
    <s v="Remington Taylor"/>
    <s v="SINGLE PLAY"/>
    <m/>
    <m/>
    <n v="125"/>
    <m/>
    <m/>
    <n v="125"/>
  </r>
  <r>
    <x v="4"/>
    <x v="70"/>
    <s v="kevin Jackson"/>
    <s v="EMTA CONVERSION INCLUDING SCHEDULING"/>
    <m/>
    <m/>
    <n v="85"/>
    <m/>
    <m/>
    <n v="85"/>
  </r>
  <r>
    <x v="4"/>
    <x v="71"/>
    <s v="Remington Taylor"/>
    <s v="DOUBLE PLAY"/>
    <s v="CONNECTED HOME NETWORK"/>
    <s v="NEW OUTLET INCLUDING BATTERY OUTLET/CAT 5"/>
    <n v="155"/>
    <n v="40"/>
    <n v="45"/>
    <n v="240"/>
  </r>
  <r>
    <x v="4"/>
    <x v="72"/>
    <s v="Chris Ambler"/>
    <s v="SINGLE PLAY"/>
    <s v="CONNECTED HOME NETWORK"/>
    <m/>
    <n v="125"/>
    <m/>
    <n v="40"/>
    <n v="165"/>
  </r>
  <r>
    <x v="4"/>
    <x v="73"/>
    <s v="kevin Jackson"/>
    <s v="SINGLE PLAY MDU"/>
    <s v="CONNECTED HOME NETWORK"/>
    <m/>
    <n v="85"/>
    <m/>
    <n v="40"/>
    <n v="125"/>
  </r>
  <r>
    <x v="4"/>
    <x v="74"/>
    <s v="Chris Ambler"/>
    <s v="SINGLE PLAY"/>
    <s v="CONNECTED HOME NETWORK"/>
    <m/>
    <n v="125"/>
    <m/>
    <n v="40"/>
    <n v="165"/>
  </r>
  <r>
    <x v="4"/>
    <x v="75"/>
    <s v="Remington Taylor"/>
    <s v="SINGLE PLAY MDU"/>
    <s v="CONNECTED HOME NETWORK"/>
    <m/>
    <n v="85"/>
    <n v="40"/>
    <m/>
    <n v="125"/>
  </r>
  <r>
    <x v="4"/>
    <x v="76"/>
    <s v="Chris Ambler"/>
    <s v="SINGLE PLAY MDU"/>
    <s v="CONNECTED HOME NETWORK"/>
    <m/>
    <n v="85"/>
    <m/>
    <n v="40"/>
    <n v="125"/>
  </r>
  <r>
    <x v="5"/>
    <x v="77"/>
    <s v="kevin Jackson"/>
    <s v="SINGLE PLAY MDU"/>
    <s v="CONNECTED HOME NETWORK"/>
    <m/>
    <n v="85"/>
    <n v="40"/>
    <m/>
    <n v="125"/>
  </r>
  <r>
    <x v="5"/>
    <x v="78"/>
    <s v="Chris Ambler"/>
    <s v="DOUBLE PLAY MDU"/>
    <s v="CONNECTED HOME NETWORK"/>
    <m/>
    <n v="105"/>
    <n v="40"/>
    <m/>
    <n v="1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Jul 18, 2022"/>
    <x v="0"/>
    <s v="Chris Ambler"/>
    <s v="Emta Conversion"/>
    <m/>
    <s v="HOOK UP HOME NETWORK"/>
    <n v="85"/>
    <m/>
    <n v="40"/>
    <n v="125"/>
  </r>
  <r>
    <s v="Jul 18, 2022"/>
    <x v="1"/>
    <s v="Remington Taylor"/>
    <s v="Trip Charge"/>
    <m/>
    <m/>
    <n v="40"/>
    <m/>
    <m/>
    <n v="40"/>
  </r>
  <r>
    <s v="Jul 18, 2022"/>
    <x v="2"/>
    <s v="Chris Ambler"/>
    <s v="Single Play"/>
    <m/>
    <s v="HOOK UP HOME NETWORK"/>
    <n v="125"/>
    <m/>
    <n v="40"/>
    <n v="165"/>
  </r>
  <r>
    <s v="Jul 18, 2022"/>
    <x v="3"/>
    <s v="Remington Taylor"/>
    <s v="Single Play"/>
    <m/>
    <s v="HOOK UP HOME NETWORK"/>
    <n v="125"/>
    <m/>
    <n v="40"/>
    <n v="165"/>
  </r>
  <r>
    <s v="Jul 18, 2022"/>
    <x v="4"/>
    <s v="Chris Ambler"/>
    <s v="Single Play MDU"/>
    <m/>
    <s v="HOOK UP HOME NETWORK"/>
    <n v="85"/>
    <m/>
    <n v="40"/>
    <n v="125"/>
  </r>
  <r>
    <s v="Jul 18, 2022"/>
    <x v="5"/>
    <s v="Remington Taylor"/>
    <s v="Single Play MDU"/>
    <m/>
    <s v="HOOK UP HOME NETWORK"/>
    <n v="85"/>
    <m/>
    <n v="40"/>
    <n v="125"/>
  </r>
  <r>
    <s v="Jul 18, 2022"/>
    <x v="6"/>
    <s v="Remington Taylor"/>
    <s v="Single Play MDU"/>
    <m/>
    <s v="HOOK UP HOME NETWORK"/>
    <n v="85"/>
    <m/>
    <n v="40"/>
    <n v="125"/>
  </r>
  <r>
    <s v="Jul 18, 2022"/>
    <x v="7"/>
    <s v="Marcus Martin"/>
    <s v="Trip Charge"/>
    <m/>
    <m/>
    <n v="40"/>
    <m/>
    <m/>
    <n v="40"/>
  </r>
  <r>
    <s v="Jul 18, 2022"/>
    <x v="8"/>
    <s v="Marcus Martin"/>
    <s v="Trip Charge"/>
    <m/>
    <m/>
    <n v="40"/>
    <m/>
    <m/>
    <n v="40"/>
  </r>
  <r>
    <s v="Jul 18, 2022"/>
    <x v="9"/>
    <s v="Marcus Martin"/>
    <s v="Single Play"/>
    <m/>
    <m/>
    <n v="125"/>
    <m/>
    <m/>
    <n v="125"/>
  </r>
  <r>
    <s v="Jul 18, 2022"/>
    <x v="10"/>
    <s v="Remington Taylor"/>
    <s v="Single Play"/>
    <m/>
    <m/>
    <n v="125"/>
    <m/>
    <m/>
    <n v="125"/>
  </r>
  <r>
    <s v="Jul 18, 2022"/>
    <x v="11"/>
    <s v="Chris Ambler"/>
    <s v="Single Play MDU"/>
    <m/>
    <m/>
    <n v="85"/>
    <m/>
    <m/>
    <n v="85"/>
  </r>
  <r>
    <s v="Jul 18, 2022"/>
    <x v="12"/>
    <s v="Chris Ambler"/>
    <s v="Single Play"/>
    <m/>
    <s v="HOOK UP HOME NETWORK"/>
    <n v="125"/>
    <m/>
    <n v="40"/>
    <n v="165"/>
  </r>
  <r>
    <s v="Jul 19, 2022"/>
    <x v="13"/>
    <s v="Chris Ambler"/>
    <s v="Single Play MDU"/>
    <m/>
    <m/>
    <n v="85"/>
    <m/>
    <m/>
    <n v="85"/>
  </r>
  <r>
    <s v="Jul 19, 2022"/>
    <x v="14"/>
    <s v="Chris Ambler"/>
    <s v="DOUBLE PLAY MDU"/>
    <s v="HOOK UP HOME NETWORK"/>
    <m/>
    <n v="105"/>
    <m/>
    <n v="40"/>
    <n v="145"/>
  </r>
  <r>
    <s v="Jul 19, 2022"/>
    <x v="15"/>
    <s v="Chris Ambler"/>
    <s v="DOUBLE PLAY MDU"/>
    <s v="HOOK UP HOME NETWORK"/>
    <m/>
    <n v="105"/>
    <m/>
    <n v="40"/>
    <n v="145"/>
  </r>
  <r>
    <s v="Jul 19, 2022"/>
    <x v="16"/>
    <s v="Chris Ambler"/>
    <s v="Single Play MDU"/>
    <m/>
    <m/>
    <n v="85"/>
    <m/>
    <m/>
    <n v="85"/>
  </r>
  <r>
    <s v="Jul 19, 2022"/>
    <x v="17"/>
    <s v="Remington Taylor"/>
    <s v="Single Play"/>
    <m/>
    <m/>
    <n v="125"/>
    <m/>
    <m/>
    <n v="125"/>
  </r>
  <r>
    <s v="Jul 19, 2022"/>
    <x v="18"/>
    <s v="Remington Taylor"/>
    <s v="Trip Charge"/>
    <m/>
    <m/>
    <n v="40"/>
    <m/>
    <m/>
    <n v="40"/>
  </r>
  <r>
    <s v="Jul 19, 2022"/>
    <x v="19"/>
    <s v="Remington Taylor"/>
    <s v="Single Play"/>
    <s v="HOOK UP HOME NETWORK"/>
    <m/>
    <n v="125"/>
    <n v="40"/>
    <m/>
    <n v="165"/>
  </r>
  <r>
    <s v="Jul 19, 2022"/>
    <x v="20"/>
    <s v="Chris Ambler"/>
    <s v="Single Play MDU"/>
    <s v="HOOK UP HOME NETWORK"/>
    <m/>
    <n v="85"/>
    <n v="40"/>
    <m/>
    <n v="125"/>
  </r>
  <r>
    <s v="Jul 19, 2022"/>
    <x v="21"/>
    <s v="Remington Taylor"/>
    <s v="Single Play MDU"/>
    <m/>
    <m/>
    <n v="85"/>
    <m/>
    <m/>
    <n v="85"/>
  </r>
  <r>
    <s v="Jul 19, 2022"/>
    <x v="22"/>
    <s v="Chris Ambler"/>
    <s v="Single Play"/>
    <s v="HOOK UP HOME NETWORK"/>
    <m/>
    <n v="125"/>
    <m/>
    <n v="40"/>
    <n v="165"/>
  </r>
  <r>
    <s v="Jul 19, 2022"/>
    <x v="23"/>
    <s v="Chris Ambler"/>
    <s v="Single Play MDU"/>
    <m/>
    <m/>
    <n v="85"/>
    <m/>
    <m/>
    <n v="85"/>
  </r>
  <r>
    <s v="Jul 19, 2022"/>
    <x v="24"/>
    <s v="Remington Taylor"/>
    <s v="Single Play"/>
    <s v="HOOK UP HOME NETWORK"/>
    <m/>
    <n v="125"/>
    <n v="40"/>
    <m/>
    <n v="165"/>
  </r>
  <r>
    <s v="Jul 19, 2022"/>
    <x v="25"/>
    <s v="Derick Martin"/>
    <s v="Single Play"/>
    <s v="HOOK UP HOME NETWORK"/>
    <m/>
    <n v="125"/>
    <n v="40"/>
    <m/>
    <n v="165"/>
  </r>
  <r>
    <s v="Jul 19, 2022"/>
    <x v="26"/>
    <s v="Marcus Martin"/>
    <s v="Single Play"/>
    <s v="HOOK UP HOME NETWORK"/>
    <m/>
    <n v="125"/>
    <n v="40"/>
    <m/>
    <n v="165"/>
  </r>
  <r>
    <s v="Jul 19, 2022"/>
    <x v="27"/>
    <s v="Chris Ambler"/>
    <s v="Single Play"/>
    <s v="HOOK UP HOME NETWORK"/>
    <m/>
    <n v="125"/>
    <n v="40"/>
    <m/>
    <n v="165"/>
  </r>
  <r>
    <s v="Jul 19, 2022"/>
    <x v="28"/>
    <s v="Chris Ambler"/>
    <s v="Single Play"/>
    <s v="HOOK UP HOME NETWORK"/>
    <m/>
    <n v="125"/>
    <n v="40"/>
    <m/>
    <n v="165"/>
  </r>
  <r>
    <s v="Jul 19, 2022"/>
    <x v="29"/>
    <s v="Remington Taylor"/>
    <s v="Single Play"/>
    <m/>
    <m/>
    <n v="125"/>
    <m/>
    <m/>
    <n v="125"/>
  </r>
  <r>
    <s v="Jul 19, 2022"/>
    <x v="30"/>
    <s v="Remington Taylor"/>
    <s v="Single Play"/>
    <s v="HOOK UP HOME NETWORK"/>
    <m/>
    <n v="125"/>
    <n v="40"/>
    <m/>
    <n v="165"/>
  </r>
  <r>
    <s v="Jul 20, 2022"/>
    <x v="31"/>
    <s v="Chris Ambler"/>
    <s v="DOUBLE PLAY"/>
    <s v="HOOK UP HOME NETWORK"/>
    <m/>
    <n v="155"/>
    <n v="40"/>
    <m/>
    <n v="195"/>
  </r>
  <r>
    <s v="Jul 20, 2022"/>
    <x v="32"/>
    <s v="Remington Taylor"/>
    <s v="Single Play"/>
    <m/>
    <m/>
    <n v="125"/>
    <m/>
    <m/>
    <n v="125"/>
  </r>
  <r>
    <s v="Jul 20, 2022"/>
    <x v="33"/>
    <s v="Chris Ambler"/>
    <s v="Single Play MDU"/>
    <s v="HOOK UP HOME NETWORK"/>
    <m/>
    <n v="85"/>
    <n v="40"/>
    <m/>
    <n v="125"/>
  </r>
  <r>
    <s v="Jul 20, 2022"/>
    <x v="34"/>
    <s v="Remington Taylor"/>
    <s v="Single Play MDU"/>
    <s v="HOOK UP HOME NETWORK"/>
    <m/>
    <n v="85"/>
    <n v="40"/>
    <m/>
    <n v="125"/>
  </r>
  <r>
    <s v="Jul 20, 2022"/>
    <x v="35"/>
    <s v="Chris Ambler"/>
    <s v="Single Play MDU"/>
    <m/>
    <m/>
    <n v="85"/>
    <n v="25"/>
    <m/>
    <n v="110"/>
  </r>
  <r>
    <s v="Jul 20, 2022"/>
    <x v="36"/>
    <s v="Remington Taylor"/>
    <s v="Single Play"/>
    <s v="NEW OUTLET INCLUDING BATTERY OUTLET/CAT 5"/>
    <m/>
    <n v="125"/>
    <n v="45"/>
    <m/>
    <n v="170"/>
  </r>
  <r>
    <s v="Jul 20, 2022"/>
    <x v="37"/>
    <s v="Marcus Martin"/>
    <s v="Single Play"/>
    <s v="HOOK UP HOME NETWORK"/>
    <m/>
    <n v="125"/>
    <n v="40"/>
    <m/>
    <n v="165"/>
  </r>
  <r>
    <s v="Jul 20, 2022"/>
    <x v="38"/>
    <s v="Marcus Martin"/>
    <s v="Single Play"/>
    <s v="HOOK UP HOME NETWORK"/>
    <m/>
    <n v="125"/>
    <n v="40"/>
    <m/>
    <n v="165"/>
  </r>
  <r>
    <s v="Jul 20, 2022"/>
    <x v="39"/>
    <s v="Marcus Martin"/>
    <s v="Single Play"/>
    <s v="HOOK UP HOME NETWORK"/>
    <m/>
    <n v="125"/>
    <n v="40"/>
    <m/>
    <n v="165"/>
  </r>
  <r>
    <s v="Jul 20, 2022"/>
    <x v="40"/>
    <s v="Remington Taylor"/>
    <s v="Trip Charge"/>
    <m/>
    <m/>
    <n v="40"/>
    <m/>
    <m/>
    <n v="40"/>
  </r>
  <r>
    <s v="Jul 20, 2022"/>
    <x v="41"/>
    <s v="Chris Ambler"/>
    <s v="Trip Charge"/>
    <m/>
    <m/>
    <n v="40"/>
    <m/>
    <m/>
    <n v="40"/>
  </r>
  <r>
    <s v="Jul 20, 2022"/>
    <x v="42"/>
    <s v="Chris Ambler"/>
    <s v="Single Play"/>
    <s v="HOOK UP HOME NETWORK"/>
    <m/>
    <n v="125"/>
    <n v="40"/>
    <m/>
    <n v="165"/>
  </r>
  <r>
    <s v="Jul 20, 2022"/>
    <x v="43"/>
    <s v="Chris Ambler"/>
    <s v="Single Play"/>
    <s v="HOOK UP HOME NETWORK"/>
    <m/>
    <n v="125"/>
    <n v="40"/>
    <m/>
    <n v="165"/>
  </r>
  <r>
    <s v="Jul 20, 2022"/>
    <x v="44"/>
    <s v="Marcus Martin"/>
    <s v="DOUBLE PLAYMDU"/>
    <s v="HOOK UP HOME NETWORK"/>
    <m/>
    <n v="105"/>
    <n v="40"/>
    <m/>
    <n v="145"/>
  </r>
  <r>
    <s v="Jul 20, 2022"/>
    <x v="45"/>
    <s v="Marcus Martin"/>
    <s v="Single Play MDU"/>
    <s v="HOOK UP HOME NETWORK"/>
    <m/>
    <n v="85"/>
    <n v="40"/>
    <m/>
    <n v="125"/>
  </r>
  <r>
    <s v="Jul 20, 2022"/>
    <x v="46"/>
    <s v="Marcus Martin"/>
    <s v="Single Play MDU"/>
    <m/>
    <m/>
    <n v="85"/>
    <m/>
    <m/>
    <n v="85"/>
  </r>
  <r>
    <s v="Jul 21, 2022"/>
    <x v="47"/>
    <s v="Remington Taylor"/>
    <s v="Single Play"/>
    <m/>
    <m/>
    <n v="125"/>
    <m/>
    <m/>
    <n v="125"/>
  </r>
  <r>
    <s v="Jul 21, 2022"/>
    <x v="48"/>
    <s v="Chris Ambler"/>
    <s v="Single Play MDU"/>
    <m/>
    <m/>
    <n v="85"/>
    <m/>
    <m/>
    <n v="85"/>
  </r>
  <r>
    <s v="Jul 21, 2022"/>
    <x v="49"/>
    <s v="Chris Ambler"/>
    <s v="Single Play MDU"/>
    <m/>
    <m/>
    <n v="85"/>
    <m/>
    <m/>
    <n v="85"/>
  </r>
  <r>
    <s v="Jul 21, 2022"/>
    <x v="50"/>
    <s v="Chris Ambler"/>
    <s v="Single Play MDU"/>
    <s v="HOOK UP HOME NETWORK"/>
    <m/>
    <n v="85"/>
    <n v="40"/>
    <m/>
    <n v="125"/>
  </r>
  <r>
    <s v="Jul 21, 2022"/>
    <x v="51"/>
    <s v="Remington Taylor"/>
    <s v="Single Play"/>
    <s v="HOOK UP HOME NETWORK"/>
    <m/>
    <n v="125"/>
    <n v="40"/>
    <m/>
    <n v="165"/>
  </r>
  <r>
    <s v="Jul 21, 2022"/>
    <x v="52"/>
    <s v="Chris Ambler"/>
    <s v="Single Play MDU"/>
    <m/>
    <m/>
    <n v="85"/>
    <m/>
    <m/>
    <n v="85"/>
  </r>
  <r>
    <s v="Jul 21, 2022"/>
    <x v="53"/>
    <s v="Chris Ambler"/>
    <s v="Single Play MDU"/>
    <s v="HOOK UP HOME NETWORK"/>
    <m/>
    <n v="85"/>
    <n v="40"/>
    <m/>
    <n v="125"/>
  </r>
  <r>
    <s v="Jul 21, 2022"/>
    <x v="54"/>
    <s v="Remington Taylor"/>
    <s v="Single Play"/>
    <s v="HOOK UP HOME NETWORK"/>
    <m/>
    <n v="125"/>
    <n v="40"/>
    <m/>
    <n v="165"/>
  </r>
  <r>
    <s v="Jul 21, 2022"/>
    <x v="55"/>
    <s v="Chris Ambler"/>
    <s v="Single Play"/>
    <s v="HOOK UP HOME NETWORK"/>
    <m/>
    <n v="125"/>
    <n v="40"/>
    <m/>
    <n v="165"/>
  </r>
  <r>
    <s v="Jul 21, 2022"/>
    <x v="56"/>
    <s v="Chris Ambler"/>
    <s v="Single Play"/>
    <s v="HOOK UP HOME NETWORK"/>
    <m/>
    <n v="125"/>
    <n v="40"/>
    <m/>
    <n v="165"/>
  </r>
  <r>
    <s v="Jul 21, 2022"/>
    <x v="57"/>
    <s v="Remington Taylor"/>
    <s v="Single Play"/>
    <s v="HOOK UP HOME NETWORK"/>
    <m/>
    <n v="125"/>
    <n v="40"/>
    <m/>
    <n v="165"/>
  </r>
  <r>
    <s v="Jul 21, 2022"/>
    <x v="58"/>
    <s v="Remington Taylor"/>
    <s v="Single Play"/>
    <s v="HOOK UP HOME NETWORK"/>
    <m/>
    <n v="125"/>
    <n v="40"/>
    <m/>
    <n v="165"/>
  </r>
  <r>
    <s v="Jul 21, 2022"/>
    <x v="59"/>
    <s v="Chris Ambler"/>
    <s v="Single Play"/>
    <m/>
    <m/>
    <n v="125"/>
    <m/>
    <m/>
    <n v="125"/>
  </r>
  <r>
    <s v="Jul 21, 2022"/>
    <x v="60"/>
    <s v="Remington Taylor"/>
    <s v="Trip Charge"/>
    <m/>
    <m/>
    <n v="40"/>
    <m/>
    <m/>
    <n v="40"/>
  </r>
  <r>
    <s v="Jul 21, 2022"/>
    <x v="61"/>
    <s v="Chris Ambler"/>
    <s v="Trip Charge"/>
    <m/>
    <m/>
    <n v="40"/>
    <m/>
    <m/>
    <n v="40"/>
  </r>
  <r>
    <s v="Jul 21, 2022"/>
    <x v="62"/>
    <s v="Marcus Martin"/>
    <s v="Trip Charge"/>
    <m/>
    <m/>
    <n v="40"/>
    <m/>
    <m/>
    <n v="40"/>
  </r>
  <r>
    <s v="Jul 21, 2022"/>
    <x v="63"/>
    <s v="Marcus Martin"/>
    <s v="Single Play MDU"/>
    <s v="HOOK UP HOME NETWORK"/>
    <m/>
    <n v="85"/>
    <n v="40"/>
    <m/>
    <n v="125"/>
  </r>
  <r>
    <s v="Jul 21, 2022"/>
    <x v="64"/>
    <s v="Marcus Martin"/>
    <s v="Single Play MDU"/>
    <s v="HOOK UP HOME NETWORK"/>
    <m/>
    <n v="85"/>
    <n v="40"/>
    <m/>
    <n v="125"/>
  </r>
  <r>
    <s v="Jul 21, 2022"/>
    <x v="65"/>
    <s v="Marcus Martin"/>
    <s v="Single Play"/>
    <s v="HOOK UP HOME NETWORK"/>
    <m/>
    <n v="125"/>
    <n v="40"/>
    <m/>
    <n v="165"/>
  </r>
  <r>
    <s v="Jul 21, 2022"/>
    <x v="66"/>
    <s v="Marcus Martin"/>
    <s v="Single Play"/>
    <s v="HOOK UP HOME NETWORK"/>
    <s v="NEW OUTLET INCLUDING BATTERY OUTLET/CAT 5"/>
    <n v="125"/>
    <n v="40"/>
    <n v="45"/>
    <n v="210"/>
  </r>
  <r>
    <s v="Jul 22, 2022"/>
    <x v="67"/>
    <s v="Marcus Martin"/>
    <s v="Single Play"/>
    <m/>
    <m/>
    <n v="125"/>
    <m/>
    <m/>
    <n v="125"/>
  </r>
  <r>
    <s v="Jul 22, 2022"/>
    <x v="68"/>
    <s v="Marcus Martin"/>
    <s v="Single Play"/>
    <s v="HOOK UP HOME NETWORK"/>
    <m/>
    <n v="125"/>
    <n v="40"/>
    <m/>
    <n v="165"/>
  </r>
  <r>
    <s v="Jul 22, 2022"/>
    <x v="69"/>
    <s v="Marcus Martin"/>
    <s v="Single Play MDU"/>
    <m/>
    <m/>
    <n v="85"/>
    <m/>
    <m/>
    <n v="85"/>
  </r>
  <r>
    <s v="Jul 22, 2022"/>
    <x v="70"/>
    <s v="Marcus Martin"/>
    <s v="Single Play"/>
    <s v="HOOK UP HOME NETWORK"/>
    <m/>
    <n v="125"/>
    <n v="40"/>
    <m/>
    <n v="165"/>
  </r>
  <r>
    <s v="Jul 22, 2022"/>
    <x v="71"/>
    <s v="Marcus Martin"/>
    <s v="Single Play"/>
    <s v="HOOK UP HOME NETWORK"/>
    <m/>
    <n v="125"/>
    <n v="40"/>
    <m/>
    <n v="165"/>
  </r>
  <r>
    <s v="Jul 22, 2022"/>
    <x v="72"/>
    <s v="Chris Ambler"/>
    <s v="Single Play"/>
    <s v="HOOK UP HOME NETWORK"/>
    <m/>
    <n v="125"/>
    <n v="40"/>
    <m/>
    <n v="165"/>
  </r>
  <r>
    <s v="Jul 22, 2022"/>
    <x v="73"/>
    <s v="Remington Taylor"/>
    <s v="Single Play"/>
    <s v="HOOK UP HOME NETWORK"/>
    <m/>
    <n v="125"/>
    <n v="40"/>
    <m/>
    <n v="165"/>
  </r>
  <r>
    <s v="Jul 22, 2022"/>
    <x v="74"/>
    <s v="Chris Ambler"/>
    <s v="DOUBLE PLAY MDU"/>
    <s v="HOOK UP HOME NETWORK"/>
    <m/>
    <n v="125"/>
    <n v="40"/>
    <m/>
    <n v="165"/>
  </r>
  <r>
    <s v="Jul 22, 2022"/>
    <x v="75"/>
    <s v="Remington Taylor"/>
    <s v="Single Play"/>
    <m/>
    <m/>
    <n v="125"/>
    <m/>
    <m/>
    <n v="125"/>
  </r>
  <r>
    <s v="Jul 22, 2022"/>
    <x v="76"/>
    <s v="Remington Taylor"/>
    <s v="Single Play"/>
    <m/>
    <m/>
    <n v="125"/>
    <m/>
    <m/>
    <n v="125"/>
  </r>
  <r>
    <s v="Jul 22, 2022"/>
    <x v="77"/>
    <s v="Chris Ambler"/>
    <s v="Single Play"/>
    <s v="HOOK UP HOME NETWORK"/>
    <m/>
    <n v="125"/>
    <n v="40"/>
    <m/>
    <n v="165"/>
  </r>
  <r>
    <s v="Jul 22, 2022"/>
    <x v="78"/>
    <s v="Remington Taylor"/>
    <s v="Single Play MDU"/>
    <s v="HOOK UP HOME NETWORK"/>
    <m/>
    <n v="85"/>
    <n v="40"/>
    <m/>
    <n v="125"/>
  </r>
  <r>
    <s v="Jul 22, 2022"/>
    <x v="79"/>
    <s v="Remington Taylor"/>
    <s v="Single Play"/>
    <m/>
    <m/>
    <n v="125"/>
    <m/>
    <m/>
    <n v="125"/>
  </r>
  <r>
    <s v="Jul 22, 2022"/>
    <x v="80"/>
    <s v="Remington Taylor"/>
    <s v="Single Play"/>
    <s v="HOOK UP HOME NETWORK"/>
    <m/>
    <n v="125"/>
    <n v="40"/>
    <m/>
    <n v="165"/>
  </r>
  <r>
    <s v="Jul 22, 2022"/>
    <x v="81"/>
    <s v="Chris Ambler"/>
    <s v="Single Play"/>
    <s v="HOOK UP HOME NETWORK"/>
    <m/>
    <n v="125"/>
    <n v="40"/>
    <m/>
    <n v="165"/>
  </r>
  <r>
    <s v="Jul 22, 2022"/>
    <x v="82"/>
    <s v="Chris Ambler"/>
    <s v="Single Play"/>
    <s v="HOOK UP HOME NETWORK"/>
    <m/>
    <n v="125"/>
    <n v="40"/>
    <m/>
    <n v="165"/>
  </r>
  <r>
    <s v="Jul 22, 2022"/>
    <x v="83"/>
    <s v="Chris Ambler"/>
    <s v="Single Play"/>
    <s v="HOOK UP HOME NETWORK"/>
    <m/>
    <n v="125"/>
    <n v="40"/>
    <m/>
    <n v="165"/>
  </r>
  <r>
    <s v="Jul 22, 2022"/>
    <x v="84"/>
    <s v="Chris Ambler"/>
    <s v="Single Play MDU"/>
    <s v="HOOK UP HOME NETWORK"/>
    <m/>
    <n v="85"/>
    <n v="40"/>
    <m/>
    <n v="125"/>
  </r>
  <r>
    <s v="Jul 23, 2022"/>
    <x v="85"/>
    <s v="Chris Ambler"/>
    <s v="Single Play MDU"/>
    <s v="HOOK UP HOME NETWORK"/>
    <m/>
    <n v="85"/>
    <n v="40"/>
    <m/>
    <n v="125"/>
  </r>
  <r>
    <s v="Jul 23, 2022"/>
    <x v="86"/>
    <s v="Chris Ambler"/>
    <s v="DOUBLE PLAY MDU"/>
    <m/>
    <s v="HOOK UP HOME NETWORK"/>
    <n v="105"/>
    <m/>
    <n v="40"/>
    <n v="145"/>
  </r>
  <r>
    <s v="Jul 23, 2022"/>
    <x v="87"/>
    <s v="Remington Taylor"/>
    <s v="Trip Charge"/>
    <m/>
    <m/>
    <n v="40"/>
    <m/>
    <m/>
    <n v="40"/>
  </r>
  <r>
    <s v="Jul 23, 2022"/>
    <x v="88"/>
    <s v="Chris Ambler"/>
    <s v="Single Play MDU"/>
    <m/>
    <m/>
    <n v="85"/>
    <m/>
    <m/>
    <n v="85"/>
  </r>
  <r>
    <s v="Jul 23, 2022"/>
    <x v="89"/>
    <s v="Remington Taylor"/>
    <s v="Single Play"/>
    <s v="HOOK UP HOME NETWORK"/>
    <m/>
    <n v="125"/>
    <n v="40"/>
    <m/>
    <n v="165"/>
  </r>
  <r>
    <s v="Jul 23, 2022"/>
    <x v="90"/>
    <s v="Chris Ambler"/>
    <s v="Single Play"/>
    <s v="HOOK UP HOME NETWORK"/>
    <m/>
    <n v="125"/>
    <n v="40"/>
    <m/>
    <n v="165"/>
  </r>
  <r>
    <s v="Jul 23, 2022"/>
    <x v="91"/>
    <s v="Remington Taylor"/>
    <s v="Trip Charge"/>
    <m/>
    <m/>
    <n v="40"/>
    <m/>
    <m/>
    <n v="40"/>
  </r>
  <r>
    <s v="Jul 23, 2022"/>
    <x v="92"/>
    <s v="Remington Taylor"/>
    <s v="Single Play MDU"/>
    <s v="HOOK UP HOME NETWORK"/>
    <m/>
    <n v="85"/>
    <n v="40"/>
    <m/>
    <n v="125"/>
  </r>
  <r>
    <s v="Jul 23, 2022"/>
    <x v="93"/>
    <s v="Chris Ambler"/>
    <s v="Trip Charge"/>
    <m/>
    <m/>
    <n v="40"/>
    <m/>
    <m/>
    <n v="40"/>
  </r>
  <r>
    <s v="Jul 23, 2022"/>
    <x v="94"/>
    <s v="Chris Ambler"/>
    <s v="Single Play"/>
    <s v="HOOK UP HOME NETWORK"/>
    <m/>
    <n v="125"/>
    <n v="40"/>
    <m/>
    <n v="16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x v="0"/>
    <x v="0"/>
    <x v="0"/>
    <x v="0"/>
    <x v="0"/>
    <n v="105"/>
    <m/>
    <n v="40"/>
    <n v="145"/>
  </r>
  <r>
    <x v="0"/>
    <x v="1"/>
    <x v="1"/>
    <x v="1"/>
    <x v="0"/>
    <x v="1"/>
    <n v="40"/>
    <m/>
    <m/>
    <n v="40"/>
  </r>
  <r>
    <x v="0"/>
    <x v="2"/>
    <x v="1"/>
    <x v="2"/>
    <x v="0"/>
    <x v="1"/>
    <n v="125"/>
    <n v="40"/>
    <m/>
    <n v="165"/>
  </r>
  <r>
    <x v="0"/>
    <x v="3"/>
    <x v="0"/>
    <x v="3"/>
    <x v="1"/>
    <x v="1"/>
    <n v="85"/>
    <n v="40"/>
    <m/>
    <n v="125"/>
  </r>
  <r>
    <x v="0"/>
    <x v="4"/>
    <x v="0"/>
    <x v="2"/>
    <x v="1"/>
    <x v="1"/>
    <n v="125"/>
    <n v="40"/>
    <m/>
    <n v="165"/>
  </r>
  <r>
    <x v="0"/>
    <x v="5"/>
    <x v="1"/>
    <x v="1"/>
    <x v="0"/>
    <x v="1"/>
    <n v="40"/>
    <m/>
    <m/>
    <n v="40"/>
  </r>
  <r>
    <x v="0"/>
    <x v="6"/>
    <x v="0"/>
    <x v="2"/>
    <x v="0"/>
    <x v="0"/>
    <n v="125"/>
    <m/>
    <n v="40"/>
    <n v="165"/>
  </r>
  <r>
    <x v="0"/>
    <x v="7"/>
    <x v="1"/>
    <x v="2"/>
    <x v="1"/>
    <x v="1"/>
    <n v="125"/>
    <n v="40"/>
    <m/>
    <n v="165"/>
  </r>
  <r>
    <x v="0"/>
    <x v="8"/>
    <x v="0"/>
    <x v="2"/>
    <x v="1"/>
    <x v="1"/>
    <n v="125"/>
    <n v="40"/>
    <m/>
    <n v="165"/>
  </r>
  <r>
    <x v="0"/>
    <x v="9"/>
    <x v="1"/>
    <x v="1"/>
    <x v="0"/>
    <x v="1"/>
    <n v="40"/>
    <m/>
    <m/>
    <n v="40"/>
  </r>
  <r>
    <x v="0"/>
    <x v="10"/>
    <x v="0"/>
    <x v="2"/>
    <x v="2"/>
    <x v="1"/>
    <n v="125"/>
    <n v="45"/>
    <m/>
    <n v="170"/>
  </r>
  <r>
    <x v="0"/>
    <x v="11"/>
    <x v="1"/>
    <x v="1"/>
    <x v="0"/>
    <x v="1"/>
    <n v="40"/>
    <m/>
    <m/>
    <n v="40"/>
  </r>
  <r>
    <x v="1"/>
    <x v="12"/>
    <x v="2"/>
    <x v="2"/>
    <x v="1"/>
    <x v="1"/>
    <n v="125"/>
    <n v="40"/>
    <m/>
    <n v="165"/>
  </r>
  <r>
    <x v="1"/>
    <x v="13"/>
    <x v="2"/>
    <x v="2"/>
    <x v="0"/>
    <x v="1"/>
    <n v="125"/>
    <m/>
    <m/>
    <n v="125"/>
  </r>
  <r>
    <x v="1"/>
    <x v="14"/>
    <x v="2"/>
    <x v="2"/>
    <x v="1"/>
    <x v="1"/>
    <n v="125"/>
    <n v="40"/>
    <m/>
    <n v="165"/>
  </r>
  <r>
    <x v="1"/>
    <x v="15"/>
    <x v="2"/>
    <x v="2"/>
    <x v="0"/>
    <x v="1"/>
    <n v="125"/>
    <n v="40"/>
    <m/>
    <n v="165"/>
  </r>
  <r>
    <x v="1"/>
    <x v="16"/>
    <x v="2"/>
    <x v="0"/>
    <x v="1"/>
    <x v="1"/>
    <n v="105"/>
    <n v="40"/>
    <m/>
    <n v="145"/>
  </r>
  <r>
    <x v="1"/>
    <x v="17"/>
    <x v="2"/>
    <x v="0"/>
    <x v="1"/>
    <x v="1"/>
    <n v="105"/>
    <n v="40"/>
    <m/>
    <n v="145"/>
  </r>
  <r>
    <x v="1"/>
    <x v="18"/>
    <x v="0"/>
    <x v="2"/>
    <x v="2"/>
    <x v="0"/>
    <n v="125"/>
    <n v="45"/>
    <n v="40"/>
    <n v="210"/>
  </r>
  <r>
    <x v="1"/>
    <x v="19"/>
    <x v="0"/>
    <x v="2"/>
    <x v="0"/>
    <x v="0"/>
    <n v="125"/>
    <m/>
    <n v="40"/>
    <n v="165"/>
  </r>
  <r>
    <x v="1"/>
    <x v="20"/>
    <x v="1"/>
    <x v="2"/>
    <x v="1"/>
    <x v="2"/>
    <n v="125"/>
    <n v="40"/>
    <n v="45"/>
    <n v="210"/>
  </r>
  <r>
    <x v="1"/>
    <x v="21"/>
    <x v="0"/>
    <x v="2"/>
    <x v="1"/>
    <x v="1"/>
    <n v="125"/>
    <n v="40"/>
    <m/>
    <n v="165"/>
  </r>
  <r>
    <x v="1"/>
    <x v="22"/>
    <x v="0"/>
    <x v="2"/>
    <x v="1"/>
    <x v="1"/>
    <n v="125"/>
    <n v="40"/>
    <m/>
    <n v="165"/>
  </r>
  <r>
    <x v="1"/>
    <x v="23"/>
    <x v="0"/>
    <x v="2"/>
    <x v="1"/>
    <x v="1"/>
    <n v="125"/>
    <n v="40"/>
    <m/>
    <n v="165"/>
  </r>
  <r>
    <x v="1"/>
    <x v="24"/>
    <x v="0"/>
    <x v="3"/>
    <x v="0"/>
    <x v="1"/>
    <n v="85"/>
    <m/>
    <m/>
    <n v="85"/>
  </r>
  <r>
    <x v="1"/>
    <x v="25"/>
    <x v="0"/>
    <x v="0"/>
    <x v="0"/>
    <x v="0"/>
    <n v="105"/>
    <m/>
    <n v="40"/>
    <n v="145"/>
  </r>
  <r>
    <x v="2"/>
    <x v="26"/>
    <x v="2"/>
    <x v="3"/>
    <x v="1"/>
    <x v="1"/>
    <n v="85"/>
    <n v="40"/>
    <m/>
    <n v="125"/>
  </r>
  <r>
    <x v="2"/>
    <x v="27"/>
    <x v="2"/>
    <x v="2"/>
    <x v="1"/>
    <x v="1"/>
    <n v="125"/>
    <n v="40"/>
    <m/>
    <n v="165"/>
  </r>
  <r>
    <x v="2"/>
    <x v="28"/>
    <x v="2"/>
    <x v="3"/>
    <x v="0"/>
    <x v="0"/>
    <n v="85"/>
    <m/>
    <n v="40"/>
    <n v="125"/>
  </r>
  <r>
    <x v="2"/>
    <x v="29"/>
    <x v="2"/>
    <x v="2"/>
    <x v="0"/>
    <x v="1"/>
    <n v="125"/>
    <m/>
    <m/>
    <n v="125"/>
  </r>
  <r>
    <x v="2"/>
    <x v="30"/>
    <x v="2"/>
    <x v="3"/>
    <x v="1"/>
    <x v="1"/>
    <n v="85"/>
    <n v="40"/>
    <m/>
    <n v="125"/>
  </r>
  <r>
    <x v="2"/>
    <x v="31"/>
    <x v="2"/>
    <x v="1"/>
    <x v="0"/>
    <x v="1"/>
    <n v="40"/>
    <m/>
    <m/>
    <n v="40"/>
  </r>
  <r>
    <x v="2"/>
    <x v="32"/>
    <x v="0"/>
    <x v="2"/>
    <x v="1"/>
    <x v="1"/>
    <n v="125"/>
    <n v="40"/>
    <m/>
    <n v="165"/>
  </r>
  <r>
    <x v="2"/>
    <x v="33"/>
    <x v="1"/>
    <x v="2"/>
    <x v="1"/>
    <x v="1"/>
    <n v="125"/>
    <n v="40"/>
    <m/>
    <n v="165"/>
  </r>
  <r>
    <x v="2"/>
    <x v="34"/>
    <x v="1"/>
    <x v="3"/>
    <x v="1"/>
    <x v="1"/>
    <n v="85"/>
    <n v="40"/>
    <m/>
    <n v="125"/>
  </r>
  <r>
    <x v="2"/>
    <x v="35"/>
    <x v="1"/>
    <x v="2"/>
    <x v="0"/>
    <x v="1"/>
    <n v="125"/>
    <m/>
    <m/>
    <n v="125"/>
  </r>
  <r>
    <x v="2"/>
    <x v="36"/>
    <x v="1"/>
    <x v="2"/>
    <x v="1"/>
    <x v="1"/>
    <n v="125"/>
    <n v="40"/>
    <m/>
    <n v="165"/>
  </r>
  <r>
    <x v="2"/>
    <x v="37"/>
    <x v="0"/>
    <x v="2"/>
    <x v="2"/>
    <x v="0"/>
    <n v="125"/>
    <n v="45"/>
    <n v="40"/>
    <n v="210"/>
  </r>
  <r>
    <x v="2"/>
    <x v="38"/>
    <x v="0"/>
    <x v="0"/>
    <x v="0"/>
    <x v="0"/>
    <n v="105"/>
    <m/>
    <n v="40"/>
    <n v="145"/>
  </r>
  <r>
    <x v="2"/>
    <x v="39"/>
    <x v="0"/>
    <x v="4"/>
    <x v="0"/>
    <x v="0"/>
    <n v="125"/>
    <m/>
    <n v="40"/>
    <n v="165"/>
  </r>
  <r>
    <x v="3"/>
    <x v="40"/>
    <x v="2"/>
    <x v="2"/>
    <x v="1"/>
    <x v="1"/>
    <n v="125"/>
    <n v="40"/>
    <m/>
    <n v="165"/>
  </r>
  <r>
    <x v="3"/>
    <x v="41"/>
    <x v="2"/>
    <x v="4"/>
    <x v="1"/>
    <x v="1"/>
    <n v="125"/>
    <m/>
    <m/>
    <n v="125"/>
  </r>
  <r>
    <x v="3"/>
    <x v="42"/>
    <x v="2"/>
    <x v="1"/>
    <x v="0"/>
    <x v="1"/>
    <n v="40"/>
    <m/>
    <m/>
    <n v="40"/>
  </r>
  <r>
    <x v="3"/>
    <x v="43"/>
    <x v="2"/>
    <x v="0"/>
    <x v="1"/>
    <x v="1"/>
    <n v="105"/>
    <m/>
    <m/>
    <n v="105"/>
  </r>
  <r>
    <x v="3"/>
    <x v="44"/>
    <x v="2"/>
    <x v="2"/>
    <x v="0"/>
    <x v="0"/>
    <n v="125"/>
    <m/>
    <n v="40"/>
    <n v="165"/>
  </r>
  <r>
    <x v="3"/>
    <x v="45"/>
    <x v="1"/>
    <x v="1"/>
    <x v="0"/>
    <x v="1"/>
    <n v="40"/>
    <m/>
    <m/>
    <n v="40"/>
  </r>
  <r>
    <x v="3"/>
    <x v="46"/>
    <x v="1"/>
    <x v="1"/>
    <x v="0"/>
    <x v="1"/>
    <n v="40"/>
    <m/>
    <m/>
    <n v="40"/>
  </r>
  <r>
    <x v="3"/>
    <x v="47"/>
    <x v="1"/>
    <x v="5"/>
    <x v="0"/>
    <x v="1"/>
    <n v="55"/>
    <m/>
    <m/>
    <n v="55"/>
  </r>
  <r>
    <x v="3"/>
    <x v="48"/>
    <x v="1"/>
    <x v="2"/>
    <x v="0"/>
    <x v="1"/>
    <n v="125"/>
    <m/>
    <m/>
    <n v="125"/>
  </r>
  <r>
    <x v="3"/>
    <x v="49"/>
    <x v="1"/>
    <x v="1"/>
    <x v="0"/>
    <x v="1"/>
    <n v="40"/>
    <m/>
    <m/>
    <n v="40"/>
  </r>
  <r>
    <x v="3"/>
    <x v="50"/>
    <x v="1"/>
    <x v="0"/>
    <x v="1"/>
    <x v="1"/>
    <n v="105"/>
    <n v="40"/>
    <m/>
    <n v="145"/>
  </r>
  <r>
    <x v="4"/>
    <x v="51"/>
    <x v="1"/>
    <x v="3"/>
    <x v="1"/>
    <x v="1"/>
    <n v="85"/>
    <n v="40"/>
    <m/>
    <n v="1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Jul 18, 2022"/>
    <x v="0"/>
    <s v="Chris Ambler"/>
    <s v="Single Play"/>
    <s v="EMTA CONVERSION INCLUDING SCHEDULING"/>
    <s v="HOOK UP HOME NETWORK"/>
    <n v="125"/>
    <n v="85"/>
    <n v="40"/>
    <n v="250"/>
  </r>
  <r>
    <s v="Jul 18, 2022"/>
    <x v="1"/>
    <s v="Remington Taylor"/>
    <s v="Trip Charge"/>
    <m/>
    <m/>
    <n v="40"/>
    <m/>
    <m/>
    <n v="40"/>
  </r>
  <r>
    <s v="Jul 18, 2022"/>
    <x v="2"/>
    <s v="Chris Ambler"/>
    <s v="Single Play"/>
    <m/>
    <s v="HOOK UP HOME NETWORK"/>
    <n v="125"/>
    <m/>
    <n v="40"/>
    <n v="165"/>
  </r>
  <r>
    <s v="Jul 18, 2022"/>
    <x v="3"/>
    <s v="Remington Taylor"/>
    <s v="Single Play"/>
    <m/>
    <s v="HOOK UP HOME NETWORK"/>
    <n v="125"/>
    <m/>
    <n v="40"/>
    <n v="165"/>
  </r>
  <r>
    <s v="Jul 18, 2022"/>
    <x v="4"/>
    <s v="Chris Ambler"/>
    <s v="Single Play MDU"/>
    <m/>
    <s v="HOOK UP HOME NETWORK"/>
    <n v="85"/>
    <m/>
    <n v="40"/>
    <n v="125"/>
  </r>
  <r>
    <s v="Jul 18, 2022"/>
    <x v="5"/>
    <s v="Remington Taylor"/>
    <s v="Single Play MDU"/>
    <m/>
    <s v="HOOK UP HOME NETWORK"/>
    <n v="85"/>
    <m/>
    <n v="40"/>
    <n v="125"/>
  </r>
  <r>
    <s v="Jul 18, 2022"/>
    <x v="6"/>
    <s v="Remington Taylor"/>
    <s v="Single Play MDU"/>
    <m/>
    <s v="HOOK UP HOME NETWORK"/>
    <n v="85"/>
    <m/>
    <n v="40"/>
    <n v="125"/>
  </r>
  <r>
    <s v="Jul 18, 2022"/>
    <x v="7"/>
    <s v="Marcus Martin"/>
    <s v="Trip Charge"/>
    <m/>
    <m/>
    <n v="40"/>
    <m/>
    <m/>
    <n v="40"/>
  </r>
  <r>
    <s v="Jul 18, 2022"/>
    <x v="8"/>
    <s v="Marcus Martin"/>
    <s v="Trip Charge"/>
    <m/>
    <m/>
    <n v="40"/>
    <m/>
    <m/>
    <n v="40"/>
  </r>
  <r>
    <s v="Jul 18, 2022"/>
    <x v="9"/>
    <s v="Marcus Martin"/>
    <s v="Single Play"/>
    <m/>
    <m/>
    <n v="125"/>
    <m/>
    <m/>
    <n v="125"/>
  </r>
  <r>
    <s v="Jul 18, 2022"/>
    <x v="10"/>
    <s v="Remington Taylor"/>
    <s v="Single Play"/>
    <m/>
    <m/>
    <n v="125"/>
    <m/>
    <m/>
    <n v="125"/>
  </r>
  <r>
    <s v="Jul 18, 2022"/>
    <x v="11"/>
    <s v="Chris Ambler"/>
    <s v="Single Play MDU"/>
    <m/>
    <m/>
    <n v="85"/>
    <m/>
    <m/>
    <n v="85"/>
  </r>
  <r>
    <s v="Jul 18, 2022"/>
    <x v="12"/>
    <s v="Chris Ambler"/>
    <s v="Single Play"/>
    <m/>
    <s v="HOOK UP HOME NETWORK"/>
    <n v="125"/>
    <m/>
    <n v="40"/>
    <n v="165"/>
  </r>
  <r>
    <s v="Jul 19, 2022"/>
    <x v="13"/>
    <s v="Chris Ambler"/>
    <s v="Single Play MDU"/>
    <m/>
    <m/>
    <n v="85"/>
    <m/>
    <m/>
    <n v="85"/>
  </r>
  <r>
    <s v="Jul 19, 2022"/>
    <x v="14"/>
    <s v="Chris Ambler"/>
    <s v="DOUBLE PLAY MDU"/>
    <s v="HOOK UP HOME NETWORK"/>
    <m/>
    <n v="105"/>
    <m/>
    <n v="40"/>
    <n v="145"/>
  </r>
  <r>
    <s v="Jul 19, 2022"/>
    <x v="15"/>
    <s v="Chris Ambler"/>
    <s v="DOUBLE PLAY MDU"/>
    <s v="HOOK UP HOME NETWORK"/>
    <m/>
    <n v="105"/>
    <m/>
    <n v="40"/>
    <n v="145"/>
  </r>
  <r>
    <s v="Jul 19, 2022"/>
    <x v="16"/>
    <s v="Chris Ambler"/>
    <s v="Single Play MDU"/>
    <m/>
    <m/>
    <n v="85"/>
    <m/>
    <m/>
    <n v="85"/>
  </r>
  <r>
    <s v="Jul 19, 2022"/>
    <x v="17"/>
    <s v="Remington Taylor"/>
    <s v="Single Play"/>
    <m/>
    <m/>
    <n v="125"/>
    <m/>
    <m/>
    <n v="125"/>
  </r>
  <r>
    <s v="Jul 19, 2022"/>
    <x v="18"/>
    <s v="Remington Taylor"/>
    <s v="Trip Charge"/>
    <m/>
    <m/>
    <n v="40"/>
    <m/>
    <m/>
    <n v="40"/>
  </r>
  <r>
    <s v="Jul 19, 2022"/>
    <x v="19"/>
    <s v="Remington Taylor"/>
    <s v="Single Play"/>
    <s v="HOOK UP HOME NETWORK"/>
    <m/>
    <n v="125"/>
    <n v="40"/>
    <m/>
    <n v="165"/>
  </r>
  <r>
    <s v="Jul 19, 2022"/>
    <x v="20"/>
    <s v="Chris Ambler"/>
    <s v="Single Play MDU"/>
    <s v="HOOK UP HOME NETWORK"/>
    <m/>
    <n v="85"/>
    <n v="40"/>
    <m/>
    <n v="125"/>
  </r>
  <r>
    <s v="Jul 19, 2022"/>
    <x v="21"/>
    <s v="Remington Taylor"/>
    <s v="Single Play MDU"/>
    <m/>
    <m/>
    <n v="85"/>
    <m/>
    <m/>
    <n v="85"/>
  </r>
  <r>
    <s v="Jul 19, 2022"/>
    <x v="22"/>
    <s v="Chris Ambler"/>
    <s v="Single Play"/>
    <s v="HOOK UP HOME NETWORK"/>
    <m/>
    <n v="125"/>
    <m/>
    <n v="40"/>
    <n v="165"/>
  </r>
  <r>
    <s v="Jul 19, 2022"/>
    <x v="23"/>
    <s v="Chris Ambler"/>
    <s v="Single Play MDU"/>
    <m/>
    <m/>
    <n v="85"/>
    <m/>
    <m/>
    <n v="85"/>
  </r>
  <r>
    <s v="Jul 19, 2022"/>
    <x v="24"/>
    <s v="Remington Taylor"/>
    <s v="Single Play"/>
    <s v="HOOK UP HOME NETWORK"/>
    <m/>
    <n v="125"/>
    <n v="40"/>
    <m/>
    <n v="165"/>
  </r>
  <r>
    <s v="Jul 19, 2022"/>
    <x v="25"/>
    <s v="Derick Martin"/>
    <s v="Single Play"/>
    <s v="HOOK UP HOME NETWORK"/>
    <m/>
    <n v="125"/>
    <n v="40"/>
    <m/>
    <n v="165"/>
  </r>
  <r>
    <s v="Jul 19, 2022"/>
    <x v="26"/>
    <s v="Marcus Martin"/>
    <s v="Single Play"/>
    <s v="HOOK UP HOME NETWORK"/>
    <m/>
    <n v="125"/>
    <n v="40"/>
    <m/>
    <n v="165"/>
  </r>
  <r>
    <s v="Jul 19, 2022"/>
    <x v="27"/>
    <s v="Chris Ambler"/>
    <s v="Single Play"/>
    <s v="HOOK UP HOME NETWORK"/>
    <m/>
    <n v="125"/>
    <n v="40"/>
    <m/>
    <n v="165"/>
  </r>
  <r>
    <s v="Jul 19, 2022"/>
    <x v="28"/>
    <s v="Chris Ambler"/>
    <s v="Single Play"/>
    <s v="HOOK UP HOME NETWORK"/>
    <m/>
    <n v="125"/>
    <n v="40"/>
    <m/>
    <n v="165"/>
  </r>
  <r>
    <s v="Jul 19, 2022"/>
    <x v="29"/>
    <s v="Remington Taylor"/>
    <s v="Single Play"/>
    <m/>
    <m/>
    <n v="125"/>
    <m/>
    <m/>
    <n v="125"/>
  </r>
  <r>
    <s v="Jul 19, 2022"/>
    <x v="30"/>
    <s v="Remington Taylor"/>
    <s v="Single Play"/>
    <s v="HOOK UP HOME NETWORK"/>
    <m/>
    <n v="125"/>
    <n v="40"/>
    <m/>
    <n v="165"/>
  </r>
  <r>
    <s v="Jul 20, 2022"/>
    <x v="31"/>
    <s v="Chris Ambler"/>
    <s v="DOUBLE PLAY"/>
    <s v="HOOK UP HOME NETWORK"/>
    <m/>
    <n v="155"/>
    <n v="40"/>
    <m/>
    <n v="195"/>
  </r>
  <r>
    <s v="Jul 20, 2022"/>
    <x v="32"/>
    <s v="Remington Taylor"/>
    <s v="Single Play"/>
    <m/>
    <m/>
    <n v="125"/>
    <m/>
    <m/>
    <n v="125"/>
  </r>
  <r>
    <s v="Jul 20, 2022"/>
    <x v="33"/>
    <s v="Chris Ambler"/>
    <s v="Single Play MDU"/>
    <s v="HOOK UP HOME NETWORK"/>
    <m/>
    <n v="85"/>
    <n v="40"/>
    <m/>
    <n v="125"/>
  </r>
  <r>
    <s v="Jul 20, 2022"/>
    <x v="34"/>
    <s v="Remington Taylor"/>
    <s v="Single Play MDU"/>
    <s v="HOOK UP HOME NETWORK"/>
    <m/>
    <n v="85"/>
    <n v="40"/>
    <m/>
    <n v="125"/>
  </r>
  <r>
    <s v="Jul 20, 2022"/>
    <x v="35"/>
    <s v="Chris Ambler"/>
    <s v="Single Play MDU"/>
    <m/>
    <m/>
    <n v="85"/>
    <n v="25"/>
    <m/>
    <n v="110"/>
  </r>
  <r>
    <s v="Jul 20, 2022"/>
    <x v="36"/>
    <s v="Remington Taylor"/>
    <s v="Single Play"/>
    <s v="NEW OUTLET INCLUDING BATTERY OUTLET/CAT 5"/>
    <m/>
    <n v="125"/>
    <n v="45"/>
    <m/>
    <n v="170"/>
  </r>
  <r>
    <s v="Jul 20, 2022"/>
    <x v="37"/>
    <s v="Marcus Martin"/>
    <s v="Single Play"/>
    <s v="HOOK UP HOME NETWORK"/>
    <m/>
    <n v="125"/>
    <n v="40"/>
    <m/>
    <n v="165"/>
  </r>
  <r>
    <s v="Jul 20, 2022"/>
    <x v="38"/>
    <s v="Marcus Martin"/>
    <s v="Single Play"/>
    <s v="HOOK UP HOME NETWORK"/>
    <m/>
    <n v="125"/>
    <n v="40"/>
    <m/>
    <n v="165"/>
  </r>
  <r>
    <s v="Jul 20, 2022"/>
    <x v="39"/>
    <s v="Marcus Martin"/>
    <s v="Single Play"/>
    <s v="HOOK UP HOME NETWORK"/>
    <m/>
    <n v="125"/>
    <n v="40"/>
    <m/>
    <n v="165"/>
  </r>
  <r>
    <s v="Jul 20, 2022"/>
    <x v="40"/>
    <s v="Remington Taylor"/>
    <s v="Single Play"/>
    <s v="NEW OUTLET INCLUDING BATTERY OUTLET/CAT 5"/>
    <s v="HOOK UP HOME NETWORK"/>
    <n v="125"/>
    <n v="45"/>
    <n v="40"/>
    <n v="210"/>
  </r>
  <r>
    <s v="Jul 20, 2022"/>
    <x v="41"/>
    <s v="Chris Ambler"/>
    <s v="Trip Charge"/>
    <m/>
    <m/>
    <n v="40"/>
    <m/>
    <m/>
    <n v="40"/>
  </r>
  <r>
    <s v="Jul 20, 2022"/>
    <x v="42"/>
    <s v="Chris Ambler"/>
    <s v="Single Play"/>
    <s v="HOOK UP HOME NETWORK"/>
    <m/>
    <n v="125"/>
    <n v="40"/>
    <m/>
    <n v="165"/>
  </r>
  <r>
    <s v="Jul 20, 2022"/>
    <x v="43"/>
    <s v="Chris Ambler"/>
    <s v="Single Play"/>
    <s v="HOOK UP HOME NETWORK"/>
    <m/>
    <n v="125"/>
    <n v="40"/>
    <m/>
    <n v="165"/>
  </r>
  <r>
    <s v="Jul 20, 2022"/>
    <x v="44"/>
    <s v="Marcus Martin"/>
    <s v="DOUBLE PLAYMDU"/>
    <s v="HOOK UP HOME NETWORK"/>
    <m/>
    <n v="105"/>
    <n v="40"/>
    <m/>
    <n v="145"/>
  </r>
  <r>
    <s v="Jul 20, 2022"/>
    <x v="45"/>
    <s v="Marcus Martin"/>
    <s v="Single Play MDU"/>
    <s v="HOOK UP HOME NETWORK"/>
    <m/>
    <n v="85"/>
    <n v="40"/>
    <m/>
    <n v="125"/>
  </r>
  <r>
    <s v="Jul 20, 2022"/>
    <x v="46"/>
    <s v="Marcus Martin"/>
    <s v="Single Play MDU"/>
    <m/>
    <m/>
    <n v="85"/>
    <m/>
    <m/>
    <n v="85"/>
  </r>
  <r>
    <s v="Jul 21, 2022"/>
    <x v="47"/>
    <s v="Remington Taylor"/>
    <s v="Single Play"/>
    <m/>
    <m/>
    <n v="125"/>
    <m/>
    <m/>
    <n v="125"/>
  </r>
  <r>
    <s v="Jul 21, 2022"/>
    <x v="48"/>
    <s v="Chris Ambler"/>
    <s v="Single Play MDU"/>
    <m/>
    <m/>
    <n v="85"/>
    <m/>
    <m/>
    <n v="85"/>
  </r>
  <r>
    <s v="Jul 21, 2022"/>
    <x v="49"/>
    <s v="Chris Ambler"/>
    <s v="Single Play MDU"/>
    <m/>
    <m/>
    <n v="85"/>
    <m/>
    <m/>
    <n v="85"/>
  </r>
  <r>
    <s v="Jul 21, 2022"/>
    <x v="50"/>
    <s v="Chris Ambler"/>
    <s v="Single Play MDU"/>
    <s v="HOOK UP HOME NETWORK"/>
    <m/>
    <n v="85"/>
    <n v="40"/>
    <m/>
    <n v="125"/>
  </r>
  <r>
    <s v="Jul 21, 2022"/>
    <x v="51"/>
    <s v="Remington Taylor"/>
    <s v="Single Play"/>
    <s v="HOOK UP HOME NETWORK"/>
    <m/>
    <n v="125"/>
    <n v="40"/>
    <m/>
    <n v="165"/>
  </r>
  <r>
    <s v="Jul 21, 2022"/>
    <x v="52"/>
    <s v="Chris Ambler"/>
    <s v="Single Play MDU"/>
    <m/>
    <m/>
    <n v="85"/>
    <m/>
    <m/>
    <n v="85"/>
  </r>
  <r>
    <s v="Jul 21, 2022"/>
    <x v="53"/>
    <s v="Chris Ambler"/>
    <s v="Single Play MDU"/>
    <s v="HOOK UP HOME NETWORK"/>
    <m/>
    <n v="85"/>
    <n v="40"/>
    <m/>
    <n v="125"/>
  </r>
  <r>
    <s v="Jul 21, 2022"/>
    <x v="54"/>
    <s v="Remington Taylor"/>
    <s v="Single Play"/>
    <s v="HOOK UP HOME NETWORK"/>
    <m/>
    <n v="125"/>
    <n v="40"/>
    <m/>
    <n v="165"/>
  </r>
  <r>
    <s v="Jul 21, 2022"/>
    <x v="55"/>
    <s v="Chris Ambler"/>
    <s v="Single Play"/>
    <s v="HOOK UP HOME NETWORK"/>
    <m/>
    <n v="125"/>
    <n v="40"/>
    <m/>
    <n v="165"/>
  </r>
  <r>
    <s v="Jul 21, 2022"/>
    <x v="56"/>
    <s v="Chris Ambler"/>
    <s v="Single Play"/>
    <s v="HOOK UP HOME NETWORK"/>
    <m/>
    <n v="125"/>
    <n v="40"/>
    <m/>
    <n v="165"/>
  </r>
  <r>
    <s v="Jul 21, 2022"/>
    <x v="57"/>
    <s v="Remington Taylor"/>
    <s v="Single Play"/>
    <s v="HOOK UP HOME NETWORK"/>
    <m/>
    <n v="125"/>
    <n v="40"/>
    <m/>
    <n v="165"/>
  </r>
  <r>
    <s v="Jul 21, 2022"/>
    <x v="58"/>
    <s v="Remington Taylor"/>
    <s v="Single Play"/>
    <s v="HOOK UP HOME NETWORK"/>
    <m/>
    <n v="125"/>
    <n v="40"/>
    <m/>
    <n v="165"/>
  </r>
  <r>
    <s v="Jul 21, 2022"/>
    <x v="59"/>
    <s v="Chris Ambler"/>
    <s v="Single Play"/>
    <m/>
    <m/>
    <n v="125"/>
    <m/>
    <m/>
    <n v="125"/>
  </r>
  <r>
    <s v="Jul 21, 2022"/>
    <x v="60"/>
    <s v="Remington Taylor"/>
    <s v="Trip Charge"/>
    <m/>
    <m/>
    <n v="40"/>
    <m/>
    <m/>
    <n v="40"/>
  </r>
  <r>
    <s v="Jul 21, 2022"/>
    <x v="61"/>
    <s v="Chris Ambler"/>
    <s v="Trip Charge"/>
    <m/>
    <m/>
    <n v="40"/>
    <m/>
    <m/>
    <n v="40"/>
  </r>
  <r>
    <s v="Jul 21, 2022"/>
    <x v="62"/>
    <s v="Marcus Martin"/>
    <s v="Trip Charge"/>
    <m/>
    <m/>
    <n v="40"/>
    <m/>
    <m/>
    <n v="40"/>
  </r>
  <r>
    <s v="Jul 21, 2022"/>
    <x v="63"/>
    <s v="Marcus Martin"/>
    <s v="Single Play MDU"/>
    <s v="HOOK UP HOME NETWORK"/>
    <m/>
    <n v="85"/>
    <n v="40"/>
    <m/>
    <n v="125"/>
  </r>
  <r>
    <s v="Jul 21, 2022"/>
    <x v="64"/>
    <s v="Marcus Martin"/>
    <s v="Single Play MDU"/>
    <s v="HOOK UP HOME NETWORK"/>
    <m/>
    <n v="85"/>
    <n v="40"/>
    <m/>
    <n v="125"/>
  </r>
  <r>
    <s v="Jul 21, 2022"/>
    <x v="65"/>
    <s v="Marcus Martin"/>
    <s v="Single Play"/>
    <s v="HOOK UP HOME NETWORK"/>
    <m/>
    <n v="125"/>
    <n v="40"/>
    <m/>
    <n v="165"/>
  </r>
  <r>
    <s v="Jul 21, 2022"/>
    <x v="66"/>
    <s v="Marcus Martin"/>
    <s v="Single Play"/>
    <s v="HOOK UP HOME NETWORK"/>
    <s v="NEW OUTLET INCLUDING BATTERY OUTLET/CAT 5"/>
    <n v="125"/>
    <n v="40"/>
    <n v="45"/>
    <n v="210"/>
  </r>
  <r>
    <s v="Jul 22, 2022"/>
    <x v="67"/>
    <s v="Marcus Martin"/>
    <s v="Single Play"/>
    <m/>
    <m/>
    <n v="125"/>
    <m/>
    <m/>
    <n v="125"/>
  </r>
  <r>
    <s v="Jul 22, 2022"/>
    <x v="68"/>
    <s v="Marcus Martin"/>
    <s v="Single Play"/>
    <s v="HOOK UP HOME NETWORK"/>
    <m/>
    <n v="125"/>
    <n v="40"/>
    <m/>
    <n v="165"/>
  </r>
  <r>
    <s v="Jul 22, 2022"/>
    <x v="69"/>
    <s v="Marcus Martin"/>
    <s v="Single Play MDU"/>
    <m/>
    <m/>
    <n v="85"/>
    <m/>
    <m/>
    <n v="85"/>
  </r>
  <r>
    <s v="Jul 22, 2022"/>
    <x v="70"/>
    <s v="Marcus Martin"/>
    <s v="Single Play"/>
    <s v="HOOK UP HOME NETWORK"/>
    <m/>
    <n v="125"/>
    <n v="40"/>
    <m/>
    <n v="165"/>
  </r>
  <r>
    <s v="Jul 22, 2022"/>
    <x v="71"/>
    <s v="Marcus Martin"/>
    <s v="Single Play"/>
    <s v="HOOK UP HOME NETWORK"/>
    <m/>
    <n v="125"/>
    <n v="40"/>
    <m/>
    <n v="165"/>
  </r>
  <r>
    <s v="Jul 22, 2022"/>
    <x v="72"/>
    <s v="Chris Ambler"/>
    <s v="Single Play"/>
    <s v="HOOK UP HOME NETWORK"/>
    <m/>
    <n v="125"/>
    <n v="40"/>
    <m/>
    <n v="165"/>
  </r>
  <r>
    <s v="Jul 22, 2022"/>
    <x v="73"/>
    <s v="Remington Taylor"/>
    <s v="Single Play"/>
    <s v="HOOK UP HOME NETWORK"/>
    <m/>
    <n v="125"/>
    <n v="40"/>
    <m/>
    <n v="165"/>
  </r>
  <r>
    <s v="Jul 22, 2022"/>
    <x v="74"/>
    <s v="Chris Ambler"/>
    <s v="DOUBLE PLAY MDU"/>
    <s v="HOOK UP HOME NETWORK"/>
    <m/>
    <n v="125"/>
    <n v="40"/>
    <m/>
    <n v="165"/>
  </r>
  <r>
    <s v="Jul 22, 2022"/>
    <x v="75"/>
    <s v="Remington Taylor"/>
    <s v="Single Play"/>
    <m/>
    <m/>
    <n v="125"/>
    <m/>
    <m/>
    <n v="125"/>
  </r>
  <r>
    <s v="Jul 22, 2022"/>
    <x v="76"/>
    <s v="Remington Taylor"/>
    <s v="Single Play"/>
    <m/>
    <m/>
    <n v="125"/>
    <m/>
    <m/>
    <n v="125"/>
  </r>
  <r>
    <s v="Jul 22, 2022"/>
    <x v="77"/>
    <s v="Chris Ambler"/>
    <s v="Single Play"/>
    <s v="HOOK UP HOME NETWORK"/>
    <m/>
    <n v="125"/>
    <n v="40"/>
    <m/>
    <n v="165"/>
  </r>
  <r>
    <s v="Jul 22, 2022"/>
    <x v="78"/>
    <s v="Remington Taylor"/>
    <s v="Single Play MDU"/>
    <s v="HOOK UP HOME NETWORK"/>
    <m/>
    <n v="85"/>
    <n v="40"/>
    <m/>
    <n v="125"/>
  </r>
  <r>
    <s v="Jul 22, 2022"/>
    <x v="79"/>
    <s v="Remington Taylor"/>
    <s v="Single Play"/>
    <m/>
    <m/>
    <n v="125"/>
    <m/>
    <m/>
    <n v="125"/>
  </r>
  <r>
    <s v="Jul 22, 2022"/>
    <x v="80"/>
    <s v="Remington Taylor"/>
    <s v="Single Play"/>
    <s v="HOOK UP HOME NETWORK"/>
    <m/>
    <n v="125"/>
    <n v="40"/>
    <m/>
    <n v="165"/>
  </r>
  <r>
    <s v="Jul 22, 2022"/>
    <x v="81"/>
    <s v="Chris Ambler"/>
    <s v="Single Play"/>
    <s v="HOOK UP HOME NETWORK"/>
    <m/>
    <n v="125"/>
    <n v="40"/>
    <m/>
    <n v="165"/>
  </r>
  <r>
    <s v="Jul 22, 2022"/>
    <x v="82"/>
    <s v="Chris Ambler"/>
    <s v="Single Play"/>
    <s v="HOOK UP HOME NETWORK"/>
    <m/>
    <n v="125"/>
    <n v="40"/>
    <m/>
    <n v="165"/>
  </r>
  <r>
    <s v="Jul 22, 2022"/>
    <x v="83"/>
    <s v="Chris Ambler"/>
    <s v="Single Play"/>
    <s v="HOOK UP HOME NETWORK"/>
    <m/>
    <n v="125"/>
    <n v="40"/>
    <m/>
    <n v="165"/>
  </r>
  <r>
    <s v="Jul 22, 2022"/>
    <x v="84"/>
    <s v="Chris Ambler"/>
    <s v="Single Play MDU"/>
    <s v="HOOK UP HOME NETWORK"/>
    <m/>
    <n v="85"/>
    <n v="40"/>
    <m/>
    <n v="125"/>
  </r>
  <r>
    <s v="Jul 23, 2022"/>
    <x v="85"/>
    <s v="Chris Ambler"/>
    <s v="Single Play MDU"/>
    <s v="HOOK UP HOME NETWORK"/>
    <m/>
    <n v="85"/>
    <n v="40"/>
    <m/>
    <n v="125"/>
  </r>
  <r>
    <s v="Jul 23, 2022"/>
    <x v="86"/>
    <s v="Chris Ambler"/>
    <s v="DOUBLE PLAY MDU"/>
    <m/>
    <s v="HOOK UP HOME NETWORK"/>
    <n v="105"/>
    <m/>
    <n v="40"/>
    <n v="145"/>
  </r>
  <r>
    <s v="Jul 23, 2022"/>
    <x v="87"/>
    <s v="Remington Taylor"/>
    <s v="Trip Charge"/>
    <m/>
    <m/>
    <n v="40"/>
    <m/>
    <m/>
    <n v="40"/>
  </r>
  <r>
    <s v="Jul 23, 2022"/>
    <x v="88"/>
    <s v="Chris Ambler"/>
    <s v="Single Play MDU"/>
    <m/>
    <m/>
    <n v="85"/>
    <m/>
    <m/>
    <n v="85"/>
  </r>
  <r>
    <s v="Jul 23, 2022"/>
    <x v="89"/>
    <s v="Remington Taylor"/>
    <s v="Single Play"/>
    <s v="HOOK UP HOME NETWORK"/>
    <m/>
    <n v="125"/>
    <n v="40"/>
    <m/>
    <n v="165"/>
  </r>
  <r>
    <s v="Jul 23, 2022"/>
    <x v="90"/>
    <s v="Chris Ambler"/>
    <s v="Single Play"/>
    <s v="HOOK UP HOME NETWORK"/>
    <m/>
    <n v="125"/>
    <n v="40"/>
    <m/>
    <n v="165"/>
  </r>
  <r>
    <s v="Jul 23, 2022"/>
    <x v="91"/>
    <s v="Remington Taylor"/>
    <s v="Trip Charge"/>
    <m/>
    <m/>
    <n v="40"/>
    <m/>
    <m/>
    <n v="40"/>
  </r>
  <r>
    <s v="Jul 23, 2022"/>
    <x v="92"/>
    <s v="Remington Taylor"/>
    <s v="Single Play MDU"/>
    <s v="HOOK UP HOME NETWORK"/>
    <m/>
    <n v="85"/>
    <n v="40"/>
    <m/>
    <n v="125"/>
  </r>
  <r>
    <s v="Jul 23, 2022"/>
    <x v="93"/>
    <s v="Chris Ambler"/>
    <s v="Trip Charge"/>
    <m/>
    <m/>
    <n v="40"/>
    <m/>
    <m/>
    <n v="40"/>
  </r>
  <r>
    <s v="Jul 23, 2022"/>
    <x v="94"/>
    <s v="Chris Ambler"/>
    <s v="Single Play"/>
    <s v="HOOK UP HOME NETWORK"/>
    <m/>
    <n v="125"/>
    <n v="40"/>
    <m/>
    <n v="16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Jul 25, 2022"/>
    <x v="0"/>
    <s v="Chris Ambler"/>
    <s v="SINGLE PLAY"/>
    <s v="CONNECTED HOME NETWORK"/>
    <m/>
    <n v="125"/>
    <n v="40"/>
    <m/>
    <n v="165"/>
  </r>
  <r>
    <s v="Jul 25, 2022"/>
    <x v="1"/>
    <s v="Remington Taylor"/>
    <s v="SINGLE PLAY"/>
    <m/>
    <m/>
    <n v="125"/>
    <m/>
    <m/>
    <n v="125"/>
  </r>
  <r>
    <s v="Jul 25, 2022"/>
    <x v="2"/>
    <s v="Remington Taylor"/>
    <s v="SINGLE PLAY"/>
    <s v="EMTA CONVERSION INCLUDING SCHEDULING"/>
    <m/>
    <n v="125"/>
    <n v="85"/>
    <m/>
    <n v="210"/>
  </r>
  <r>
    <s v="Jul 25, 2022"/>
    <x v="3"/>
    <s v="Chris Ambler"/>
    <s v="SINGLE PLAY"/>
    <s v="CONNECTED HOME NETWORK"/>
    <m/>
    <n v="125"/>
    <n v="40"/>
    <m/>
    <n v="165"/>
  </r>
  <r>
    <s v="Jul 25, 2022"/>
    <x v="4"/>
    <s v="Chris Ambler"/>
    <s v="SINGLE PLAY"/>
    <s v="CONNECTED HOME NETWORK"/>
    <m/>
    <n v="125"/>
    <n v="40"/>
    <m/>
    <n v="165"/>
  </r>
  <r>
    <s v="Jul 25, 2022"/>
    <x v="5"/>
    <s v="Remington Taylor"/>
    <s v="SINGLE PLAY MDU"/>
    <s v="CONNECTED HOME NETWORK"/>
    <m/>
    <n v="85"/>
    <n v="40"/>
    <m/>
    <n v="125"/>
  </r>
  <r>
    <s v="Jul 25, 2022"/>
    <x v="6"/>
    <s v="Chris Ambler"/>
    <s v="DOUBLE PLAY MDU"/>
    <m/>
    <s v="CONNECTED HOME NETWORK"/>
    <n v="105"/>
    <m/>
    <n v="40"/>
    <n v="145"/>
  </r>
  <r>
    <s v="Jul 25, 2022"/>
    <x v="7"/>
    <s v="Remington Taylor"/>
    <s v="DOUBLE PLAY"/>
    <m/>
    <m/>
    <n v="155"/>
    <m/>
    <m/>
    <n v="155"/>
  </r>
  <r>
    <s v="Jul 25, 2022"/>
    <x v="8"/>
    <s v="Chris Ambler"/>
    <s v="SINGLE PLAY"/>
    <s v="CONNECTED HOME NETWORK"/>
    <m/>
    <n v="125"/>
    <n v="40"/>
    <m/>
    <n v="165"/>
  </r>
  <r>
    <s v="Jul 25, 2022"/>
    <x v="9"/>
    <s v="Remington Taylor"/>
    <s v="TRIP CHARGE"/>
    <m/>
    <m/>
    <n v="40"/>
    <m/>
    <m/>
    <n v="40"/>
  </r>
  <r>
    <s v="Jul 25, 2022"/>
    <x v="10"/>
    <s v="Chris Ambler"/>
    <s v="DOUBLE PLAY MDU"/>
    <m/>
    <s v="CONNECTED HOME NETWORK"/>
    <n v="105"/>
    <m/>
    <n v="40"/>
    <n v="145"/>
  </r>
  <r>
    <s v="Jul 25, 2022"/>
    <x v="11"/>
    <s v="Chris Ambler"/>
    <s v="SINGLE PLAY MDU"/>
    <s v="CONNECTED HOME NETWORK"/>
    <m/>
    <n v="85"/>
    <n v="40"/>
    <m/>
    <n v="125"/>
  </r>
  <r>
    <s v="Jul 25, 2022"/>
    <x v="12"/>
    <s v="kevin Jackson"/>
    <s v="TRIP CHARGE"/>
    <m/>
    <m/>
    <n v="40"/>
    <m/>
    <m/>
    <n v="40"/>
  </r>
  <r>
    <s v="Jul 25, 2022"/>
    <x v="13"/>
    <s v="kevin Jackson"/>
    <s v="SINGLE PLAY"/>
    <s v="CONNECTED HOME NETWORK"/>
    <m/>
    <n v="125"/>
    <n v="40"/>
    <m/>
    <n v="165"/>
  </r>
  <r>
    <s v="Jul 26, 2022"/>
    <x v="14"/>
    <s v="kevin Jackson"/>
    <s v="DOUBLE PLAY"/>
    <s v="CONNECTED HOME NETWORK"/>
    <m/>
    <n v="155"/>
    <n v="40"/>
    <m/>
    <n v="195"/>
  </r>
  <r>
    <s v="Jul 26, 2022"/>
    <x v="15"/>
    <s v="Marcus Martin"/>
    <s v="SINGLE PLAY"/>
    <s v="CONNECTED HOME NETWORK"/>
    <m/>
    <n v="125"/>
    <n v="40"/>
    <m/>
    <n v="165"/>
  </r>
  <r>
    <s v="Jul 26, 2022"/>
    <x v="16"/>
    <s v="Marcus Martin"/>
    <s v="SINGLE PLAY MDU"/>
    <m/>
    <m/>
    <n v="85"/>
    <m/>
    <m/>
    <n v="85"/>
  </r>
  <r>
    <s v="Jul 26, 2022"/>
    <x v="17"/>
    <s v="Marcus Martin"/>
    <s v="SINGLE PLAY"/>
    <s v="CONNECTED HOME NETWORK"/>
    <m/>
    <n v="125"/>
    <n v="40"/>
    <m/>
    <n v="165"/>
  </r>
  <r>
    <s v="Jul 26, 2022"/>
    <x v="18"/>
    <s v="Marcus Martin"/>
    <s v="SINGLE PLAY"/>
    <s v="CONNECTED HOME NETWORK"/>
    <m/>
    <n v="125"/>
    <n v="40"/>
    <m/>
    <n v="165"/>
  </r>
  <r>
    <s v="Jul 26, 2022"/>
    <x v="19"/>
    <s v="Chris Ambler"/>
    <s v="SINGLE PLAY MDU"/>
    <m/>
    <m/>
    <n v="85"/>
    <m/>
    <m/>
    <n v="85"/>
  </r>
  <r>
    <s v="Jul 26, 2022"/>
    <x v="20"/>
    <s v="Chris Ambler"/>
    <s v="TRIPLE PLAY MDU"/>
    <m/>
    <s v="CONNECTED HOME NETWORK"/>
    <n v="125"/>
    <m/>
    <n v="40"/>
    <n v="165"/>
  </r>
  <r>
    <s v="Jul 26, 2022"/>
    <x v="21"/>
    <s v="Chris Ambler"/>
    <s v="SINGLE PLAY MDU"/>
    <m/>
    <m/>
    <n v="85"/>
    <m/>
    <m/>
    <n v="85"/>
  </r>
  <r>
    <s v="Jul 26, 2022"/>
    <x v="22"/>
    <s v="Chris Ambler"/>
    <s v="DOUBLE PLAY MDU"/>
    <m/>
    <s v="CONNECTED HOME NETWORK"/>
    <n v="105"/>
    <m/>
    <n v="40"/>
    <n v="145"/>
  </r>
  <r>
    <s v="Jul 26, 2022"/>
    <x v="23"/>
    <s v="Remington Taylor"/>
    <s v="TRIPLE PLAY MDU"/>
    <s v="CONNECTED HOME NETWORK"/>
    <m/>
    <n v="125"/>
    <n v="40"/>
    <m/>
    <n v="165"/>
  </r>
  <r>
    <s v="Jul 26, 2022"/>
    <x v="24"/>
    <s v="Remington Taylor"/>
    <s v="TRIP CHARGE"/>
    <m/>
    <m/>
    <n v="40"/>
    <m/>
    <m/>
    <n v="40"/>
  </r>
  <r>
    <s v="Jul 26, 2022"/>
    <x v="25"/>
    <s v="Remington Taylor"/>
    <s v="SINGLE PLAY MDU"/>
    <m/>
    <m/>
    <n v="85"/>
    <m/>
    <m/>
    <n v="85"/>
  </r>
  <r>
    <s v="Jul 26, 2022"/>
    <x v="26"/>
    <s v="Chris Ambler"/>
    <s v="SINGLE PLAY"/>
    <s v="CONNECTED HOME NETWORK"/>
    <m/>
    <n v="125"/>
    <n v="40"/>
    <m/>
    <n v="165"/>
  </r>
  <r>
    <s v="Jul 26, 2022"/>
    <x v="27"/>
    <s v="Remington Taylor"/>
    <s v="TRIP CHARGE"/>
    <m/>
    <m/>
    <n v="40"/>
    <m/>
    <m/>
    <n v="40"/>
  </r>
  <r>
    <s v="Jul 26, 2022"/>
    <x v="28"/>
    <s v="Remington Taylor"/>
    <s v="SINGLE PLAY"/>
    <m/>
    <m/>
    <n v="125"/>
    <m/>
    <m/>
    <n v="125"/>
  </r>
  <r>
    <s v="Jul 26, 2022"/>
    <x v="29"/>
    <s v="Chris Ambler"/>
    <s v="SINGLE PLAY"/>
    <s v="CONNECTED HOME NETWORK"/>
    <m/>
    <n v="125"/>
    <n v="40"/>
    <m/>
    <n v="165"/>
  </r>
  <r>
    <s v="Jul 26, 2022"/>
    <x v="30"/>
    <s v="kevin Jackson"/>
    <s v="TRIPLE PLAY"/>
    <m/>
    <m/>
    <n v="185"/>
    <m/>
    <m/>
    <n v="185"/>
  </r>
  <r>
    <s v="Jul 26, 2022"/>
    <x v="31"/>
    <s v="kevin Jackson"/>
    <s v="DOUBLE PLAY MDU"/>
    <m/>
    <s v="CONNECTED HOME NETWORK"/>
    <n v="105"/>
    <m/>
    <n v="40"/>
    <n v="145"/>
  </r>
  <r>
    <s v="Jul 26, 2022"/>
    <x v="32"/>
    <s v="kevin Jackson"/>
    <s v="SINGLE PLAY"/>
    <s v="CONNECTED HOME NETWORK"/>
    <s v="NEW OUTLET INCLUDING BATTERY OUTLET/CAT 5"/>
    <n v="125"/>
    <n v="40"/>
    <n v="45"/>
    <n v="210"/>
  </r>
  <r>
    <s v="Jul 26, 2022"/>
    <x v="33"/>
    <s v="kevin Jackson"/>
    <s v="DOUBLE PLAY MDU"/>
    <m/>
    <m/>
    <n v="105"/>
    <m/>
    <m/>
    <n v="105"/>
  </r>
  <r>
    <s v="Jul 27, 2022"/>
    <x v="34"/>
    <s v="Chris Ambler"/>
    <s v="SINGLE PLAY"/>
    <m/>
    <m/>
    <n v="125"/>
    <m/>
    <m/>
    <n v="125"/>
  </r>
  <r>
    <s v="Jul 27, 2022"/>
    <x v="35"/>
    <s v="kevin Jackson"/>
    <s v="TRIPLE PLAY"/>
    <s v="CONNECTED HOME NETWORK"/>
    <m/>
    <n v="185"/>
    <n v="40"/>
    <m/>
    <n v="225"/>
  </r>
  <r>
    <s v="Jul 27, 2022"/>
    <x v="36"/>
    <s v="Remington Taylor"/>
    <s v="DOUBLE PLAY MDU"/>
    <s v="CONNECTED HOME NETWORK"/>
    <m/>
    <n v="105"/>
    <n v="40"/>
    <m/>
    <n v="145"/>
  </r>
  <r>
    <s v="Jul 27, 2022"/>
    <x v="37"/>
    <s v="Chris Ambler"/>
    <s v="SINGLE PLAY"/>
    <s v="CONNECTED HOME NETWORK"/>
    <m/>
    <n v="125"/>
    <n v="40"/>
    <m/>
    <n v="165"/>
  </r>
  <r>
    <s v="Jul 27, 2022"/>
    <x v="38"/>
    <s v="Remington Taylor"/>
    <s v="SINGLE PLAY"/>
    <m/>
    <m/>
    <n v="125"/>
    <m/>
    <m/>
    <n v="125"/>
  </r>
  <r>
    <s v="Jul 27, 2022"/>
    <x v="39"/>
    <s v="Chris Ambler"/>
    <s v="SINGLE PLAY"/>
    <s v="NEW OUTLET INCLUDING BATTERY OUTLET/CAT 5"/>
    <s v="CONNECTED HOME NETWORK"/>
    <n v="125"/>
    <n v="45"/>
    <n v="40"/>
    <n v="210"/>
  </r>
  <r>
    <s v="Jul 27, 2022"/>
    <x v="40"/>
    <s v="Remington Taylor"/>
    <s v="SINGLE PLAY"/>
    <m/>
    <m/>
    <n v="125"/>
    <m/>
    <m/>
    <n v="125"/>
  </r>
  <r>
    <s v="Jul 27, 2022"/>
    <x v="41"/>
    <s v="Chris Ambler"/>
    <s v="SINGLE PLAY"/>
    <s v="CONNECTED HOME NETWORK"/>
    <m/>
    <n v="125"/>
    <n v="40"/>
    <m/>
    <n v="165"/>
  </r>
  <r>
    <s v="Jul 27, 2022"/>
    <x v="42"/>
    <s v="Remington Taylor"/>
    <s v="SINGLE PLAY"/>
    <s v="CONNECTED HOME NETWORK"/>
    <m/>
    <n v="125"/>
    <n v="40"/>
    <m/>
    <n v="165"/>
  </r>
  <r>
    <s v="Jul 27, 2022"/>
    <x v="43"/>
    <s v="kevin Jackson"/>
    <s v="TRIP CHARGE"/>
    <m/>
    <m/>
    <n v="40"/>
    <m/>
    <m/>
    <n v="40"/>
  </r>
  <r>
    <s v="Jul 27, 2022"/>
    <x v="44"/>
    <s v="kevin Jackson"/>
    <s v="TRIP CHARGE"/>
    <m/>
    <m/>
    <n v="40"/>
    <m/>
    <m/>
    <n v="40"/>
  </r>
  <r>
    <s v="Jul 28, 2022"/>
    <x v="45"/>
    <s v="Chris Ambler"/>
    <s v="SINGLE PLAY MDU"/>
    <m/>
    <m/>
    <n v="85"/>
    <m/>
    <m/>
    <n v="85"/>
  </r>
  <r>
    <s v="Jul 28, 2022"/>
    <x v="46"/>
    <s v="Chris Ambler"/>
    <s v="SINGLE PLAY MDU"/>
    <m/>
    <m/>
    <n v="85"/>
    <m/>
    <m/>
    <n v="85"/>
  </r>
  <r>
    <s v="Jul 28, 2022"/>
    <x v="47"/>
    <s v="Remington Taylor"/>
    <s v="SINGLE PLAY"/>
    <m/>
    <m/>
    <n v="125"/>
    <m/>
    <m/>
    <n v="125"/>
  </r>
  <r>
    <s v="Jul 28, 2022"/>
    <x v="48"/>
    <s v="Chris Ambler"/>
    <s v="SINGLE PLAY MDU"/>
    <m/>
    <s v="CONNECTED HOME NETWORK"/>
    <n v="85"/>
    <m/>
    <n v="40"/>
    <n v="125"/>
  </r>
  <r>
    <s v="Jul 28, 2022"/>
    <x v="49"/>
    <s v="kevin Jackson"/>
    <s v="DOUBLE PLAY"/>
    <m/>
    <s v="CONNECTED HOME NETWORK"/>
    <n v="155"/>
    <m/>
    <n v="40"/>
    <n v="195"/>
  </r>
  <r>
    <s v="Jul 28, 2022"/>
    <x v="50"/>
    <s v="Marcus Martin"/>
    <s v="SINGLE PLAY"/>
    <m/>
    <m/>
    <n v="125"/>
    <m/>
    <m/>
    <n v="125"/>
  </r>
  <r>
    <s v="Jul 28, 2022"/>
    <x v="51"/>
    <s v="Marcus Martin"/>
    <s v="DOUBLE PLAY"/>
    <s v="CONNECTED HOME NETWORK"/>
    <m/>
    <n v="155"/>
    <n v="40"/>
    <m/>
    <n v="195"/>
  </r>
  <r>
    <s v="Jul 28, 2022"/>
    <x v="52"/>
    <s v="Remington Taylor"/>
    <s v="SINGLE PLAY"/>
    <s v="CONNECTED HOME NETWORK"/>
    <m/>
    <n v="125"/>
    <n v="40"/>
    <m/>
    <n v="165"/>
  </r>
  <r>
    <s v="Jul 28, 2022"/>
    <x v="53"/>
    <s v="Chris Ambler"/>
    <s v="SINGLE PLAY"/>
    <m/>
    <m/>
    <n v="125"/>
    <m/>
    <m/>
    <n v="125"/>
  </r>
  <r>
    <s v="Jul 28, 2022"/>
    <x v="54"/>
    <s v="kevin Jackson"/>
    <s v="TRIPLE PLAY"/>
    <m/>
    <s v="CONNECTED HOME NETWORK"/>
    <n v="185"/>
    <m/>
    <n v="40"/>
    <n v="225"/>
  </r>
  <r>
    <s v="Jul 28, 2022"/>
    <x v="55"/>
    <s v="Remington Taylor"/>
    <s v="SINGLE PLAY MDU"/>
    <s v="CONNECTED HOME NETWORK"/>
    <m/>
    <n v="85"/>
    <n v="40"/>
    <m/>
    <n v="125"/>
  </r>
  <r>
    <s v="Jul 28, 2022"/>
    <x v="56"/>
    <s v="Chris Ambler"/>
    <s v="SINGLE PLAY"/>
    <m/>
    <s v="CONNECTED HOME NETWORK"/>
    <n v="125"/>
    <m/>
    <n v="40"/>
    <n v="165"/>
  </r>
  <r>
    <s v="Jul 28, 2022"/>
    <x v="57"/>
    <s v="Remington Taylor"/>
    <s v="TRIP CHARGE"/>
    <m/>
    <m/>
    <n v="40"/>
    <m/>
    <m/>
    <n v="40"/>
  </r>
  <r>
    <s v="Jul 29, 2022"/>
    <x v="58"/>
    <s v="Marcus Martin"/>
    <s v="SINGLE PLAY"/>
    <s v="CONNECTED HOME NETWORK"/>
    <m/>
    <n v="125"/>
    <n v="40"/>
    <m/>
    <n v="165"/>
  </r>
  <r>
    <s v="Jul 29, 2022"/>
    <x v="59"/>
    <s v="Marcus Martin"/>
    <s v="SINGLE PLAY"/>
    <s v="CONNECTED HOME NETWORK"/>
    <m/>
    <n v="125"/>
    <n v="40"/>
    <m/>
    <n v="165"/>
  </r>
  <r>
    <s v="Jul 29, 2022"/>
    <x v="60"/>
    <s v="Marcus Martin"/>
    <s v="SINGLE PLAY"/>
    <m/>
    <m/>
    <n v="125"/>
    <m/>
    <m/>
    <n v="125"/>
  </r>
  <r>
    <s v="Jul 29, 2022"/>
    <x v="61"/>
    <s v="Marcus Martin"/>
    <s v="SINGLE PLAY"/>
    <s v="CONNECTED HOME NETWORK"/>
    <m/>
    <n v="125"/>
    <n v="40"/>
    <m/>
    <n v="165"/>
  </r>
  <r>
    <s v="Jul 29, 2022"/>
    <x v="62"/>
    <s v="Chris Ambler"/>
    <s v="DOUBLE PLAY MDU"/>
    <s v="CONNECTED HOME NETWORK"/>
    <m/>
    <n v="105"/>
    <m/>
    <n v="40"/>
    <n v="145"/>
  </r>
  <r>
    <s v="Jul 29, 2022"/>
    <x v="63"/>
    <s v="Chris Ambler"/>
    <s v="SINGLE PLAY MDU"/>
    <m/>
    <m/>
    <n v="85"/>
    <m/>
    <m/>
    <n v="85"/>
  </r>
  <r>
    <s v="Jul 29, 2022"/>
    <x v="64"/>
    <s v="kevin Jackson"/>
    <s v="SINGLE PLAY"/>
    <s v="CONNECTED HOME NETWORK"/>
    <m/>
    <n v="125"/>
    <m/>
    <n v="40"/>
    <n v="165"/>
  </r>
  <r>
    <s v="Jul 29, 2022"/>
    <x v="65"/>
    <s v="Remington Taylor"/>
    <s v="SINGLE PLAY"/>
    <s v="CONNECTED HOME NETWORK"/>
    <m/>
    <n v="125"/>
    <n v="40"/>
    <m/>
    <n v="165"/>
  </r>
  <r>
    <s v="Jul 29, 2022"/>
    <x v="66"/>
    <s v="Chris Ambler"/>
    <s v="SINGLE PLAY MDU"/>
    <m/>
    <m/>
    <n v="85"/>
    <m/>
    <m/>
    <n v="85"/>
  </r>
  <r>
    <s v="Jul 29, 2022"/>
    <x v="67"/>
    <s v="Chris Ambler"/>
    <s v="SINGLE PLAY MDU"/>
    <m/>
    <m/>
    <n v="85"/>
    <m/>
    <m/>
    <n v="85"/>
  </r>
  <r>
    <s v="Jul 29, 2022"/>
    <x v="68"/>
    <s v="Chris Ambler"/>
    <s v="SINGLE PLAY MDU"/>
    <m/>
    <m/>
    <n v="85"/>
    <m/>
    <m/>
    <n v="85"/>
  </r>
  <r>
    <s v="Jul 29, 2022"/>
    <x v="69"/>
    <s v="Remington Taylor"/>
    <s v="SINGLE PLAY"/>
    <m/>
    <m/>
    <n v="125"/>
    <m/>
    <m/>
    <n v="125"/>
  </r>
  <r>
    <s v="Jul 29, 2022"/>
    <x v="70"/>
    <s v="kevin Jackson"/>
    <s v="TRIPLE PLAY MDU"/>
    <s v="CONNECTED HOME NETWORK"/>
    <m/>
    <n v="125"/>
    <n v="40"/>
    <m/>
    <n v="165"/>
  </r>
  <r>
    <s v="Jul 29, 2022"/>
    <x v="71"/>
    <s v="Remington Taylor"/>
    <s v="DOUBLE PLAY"/>
    <s v="CONNECTED HOME NETWORK"/>
    <s v="NEW OUTLET INCLUDING BATTERY OUTLET/CAT 5"/>
    <n v="155"/>
    <n v="40"/>
    <n v="45"/>
    <n v="240"/>
  </r>
  <r>
    <s v="Jul 29, 2022"/>
    <x v="72"/>
    <s v="Chris Ambler"/>
    <s v="SINGLE PLAY"/>
    <s v="CONNECTED HOME NETWORK"/>
    <m/>
    <n v="125"/>
    <m/>
    <n v="40"/>
    <n v="165"/>
  </r>
  <r>
    <s v="Jul 29, 2022"/>
    <x v="73"/>
    <s v="kevin Jackson"/>
    <s v="SINGLE PLAY MDU"/>
    <s v="CONNECTED HOME NETWORK"/>
    <m/>
    <n v="85"/>
    <m/>
    <n v="40"/>
    <n v="125"/>
  </r>
  <r>
    <s v="Jul 29, 2022"/>
    <x v="74"/>
    <s v="Chris Ambler"/>
    <s v="SINGLE PLAY"/>
    <s v="CONNECTED HOME NETWORK"/>
    <m/>
    <n v="125"/>
    <m/>
    <n v="40"/>
    <n v="165"/>
  </r>
  <r>
    <s v="Jul 29, 2022"/>
    <x v="75"/>
    <s v="Remington Taylor"/>
    <s v="SINGLE PLAY MDU"/>
    <s v="CONNECTED HOME NETWORK"/>
    <m/>
    <n v="85"/>
    <n v="40"/>
    <m/>
    <n v="125"/>
  </r>
  <r>
    <s v="Jul 29, 2022"/>
    <x v="76"/>
    <s v="Chris Ambler"/>
    <s v="SINGLE PLAY MDU"/>
    <s v="CONNECTED HOME NETWORK"/>
    <m/>
    <n v="85"/>
    <m/>
    <n v="40"/>
    <n v="125"/>
  </r>
  <r>
    <s v="Jul 30, 2022"/>
    <x v="77"/>
    <s v="kevin Jackson"/>
    <s v="SINGLE PLAY MDU"/>
    <s v="CONNECTED HOME NETWORK"/>
    <m/>
    <n v="85"/>
    <n v="40"/>
    <m/>
    <n v="125"/>
  </r>
  <r>
    <s v="Jul 30, 2022"/>
    <x v="78"/>
    <s v="Chris Ambler"/>
    <s v="DOUBLE PLAY MDU"/>
    <s v="CONNECTED HOME NETWORK"/>
    <m/>
    <n v="105"/>
    <n v="40"/>
    <m/>
    <n v="14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2-08-08T00:00:00"/>
    <x v="0"/>
    <s v="DERRICK MARTIN"/>
    <s v="TRIP CHARGE"/>
    <m/>
    <m/>
    <n v="40"/>
    <m/>
    <m/>
    <m/>
  </r>
  <r>
    <d v="2022-08-08T00:00:00"/>
    <x v="1"/>
    <s v="Remington Taylor"/>
    <s v="SINGLE PLAY"/>
    <s v="CONNECTED HOME NETWORK"/>
    <m/>
    <n v="125"/>
    <n v="40"/>
    <m/>
    <n v="165"/>
  </r>
  <r>
    <s v="Aug 8, 2022"/>
    <x v="2"/>
    <s v="Remington Taylor"/>
    <s v="TRIP CHARGE"/>
    <m/>
    <m/>
    <n v="40"/>
    <m/>
    <m/>
    <n v="40"/>
  </r>
  <r>
    <s v="Aug 8, 2022"/>
    <x v="3"/>
    <s v="kevin Jackson"/>
    <s v="SINGLE PLAY MDU"/>
    <s v="CONNECTED HOME NETWORK"/>
    <m/>
    <n v="85"/>
    <n v="40"/>
    <m/>
    <n v="125"/>
  </r>
  <r>
    <s v="Aug 8, 2022"/>
    <x v="4"/>
    <s v="Chris Ambler"/>
    <n v="0"/>
    <m/>
    <m/>
    <n v="85"/>
    <m/>
    <m/>
    <n v="85"/>
  </r>
  <r>
    <s v="Aug 8, 2022"/>
    <x v="5"/>
    <s v="Chris Ambler"/>
    <s v="SINGLE PLAY MDU"/>
    <m/>
    <m/>
    <n v="85"/>
    <m/>
    <m/>
    <n v="85"/>
  </r>
  <r>
    <s v="Aug 8, 2022"/>
    <x v="6"/>
    <s v="Chris Ambler"/>
    <s v="SINGLE PLAY"/>
    <s v="CONNECTED HOME NETWORK"/>
    <m/>
    <n v="125"/>
    <n v="40"/>
    <m/>
    <n v="165"/>
  </r>
  <r>
    <s v="Aug 8, 2022"/>
    <x v="7"/>
    <s v="kevin Jackson"/>
    <s v="SINGLE PLAY"/>
    <s v="CONNECTED HOME NETWORK"/>
    <m/>
    <n v="125"/>
    <n v="40"/>
    <m/>
    <n v="165"/>
  </r>
  <r>
    <s v="Aug 8, 2022"/>
    <x v="8"/>
    <s v="Remington Taylor"/>
    <s v="SINGLE PLAY"/>
    <m/>
    <m/>
    <n v="125"/>
    <m/>
    <m/>
    <n v="125"/>
  </r>
  <r>
    <s v="Aug 8, 2022"/>
    <x v="9"/>
    <s v="Remington Taylor"/>
    <s v="SINGLE PLAY"/>
    <s v="CONNECTED HOME NETWORK"/>
    <m/>
    <n v="125"/>
    <n v="40"/>
    <m/>
    <n v="165"/>
  </r>
  <r>
    <s v="Aug 8, 2022"/>
    <x v="10"/>
    <s v="Chris Ambler"/>
    <s v="SINGLE PLAY"/>
    <s v="CONNECTED HOME NETWORK"/>
    <m/>
    <n v="125"/>
    <n v="40"/>
    <m/>
    <n v="165"/>
  </r>
  <r>
    <s v="Aug 8, 2022"/>
    <x v="11"/>
    <s v="Remington Taylor"/>
    <s v="SINGLE PLAY"/>
    <m/>
    <m/>
    <n v="125"/>
    <m/>
    <m/>
    <n v="125"/>
  </r>
  <r>
    <s v="Aug 8, 2022"/>
    <x v="12"/>
    <s v="Chris Ambler"/>
    <s v="SINGLE PLAY"/>
    <s v="CONNECTED HOME NETWORK"/>
    <m/>
    <n v="125"/>
    <n v="40"/>
    <m/>
    <n v="165"/>
  </r>
  <r>
    <s v="Aug 8, 2022"/>
    <x v="13"/>
    <s v="Marcus Martin"/>
    <s v="SINGLE PLAY"/>
    <s v="CONNECTED HOME NETWORK"/>
    <m/>
    <n v="125"/>
    <n v="40"/>
    <m/>
    <n v="165"/>
  </r>
  <r>
    <s v="Aug 8, 2022"/>
    <x v="14"/>
    <s v="Marcus Martin"/>
    <s v="EMTA CONVERSION INCLUDING SCHEDULING WITH THE CUSTOMER"/>
    <m/>
    <m/>
    <n v="125"/>
    <n v="85"/>
    <m/>
    <n v="210"/>
  </r>
  <r>
    <s v="Aug 8, 2022"/>
    <x v="15"/>
    <s v="Marcus Martin"/>
    <s v="DOUBLE PLAY"/>
    <s v="CONNECTED HOME NETWORK"/>
    <m/>
    <n v="155"/>
    <n v="40"/>
    <m/>
    <n v="195"/>
  </r>
  <r>
    <s v="Aug 8, 2022"/>
    <x v="16"/>
    <s v="kevin Jackson"/>
    <s v="SINGLE PLAY"/>
    <s v="CONNECTED HOME NETWORK"/>
    <m/>
    <n v="125"/>
    <n v="40"/>
    <m/>
    <n v="165"/>
  </r>
  <r>
    <s v="Aug 9, 2022"/>
    <x v="17"/>
    <s v="Chris Ambler"/>
    <s v="SINGLE PLAY MDU"/>
    <m/>
    <m/>
    <n v="85"/>
    <m/>
    <m/>
    <n v="85"/>
  </r>
  <r>
    <s v="Aug 9, 2022"/>
    <x v="18"/>
    <s v="Chris Ambler"/>
    <s v="SINGLE PLAY MDU"/>
    <m/>
    <m/>
    <n v="85"/>
    <m/>
    <m/>
    <n v="85"/>
  </r>
  <r>
    <s v="Aug 9, 2022"/>
    <x v="19"/>
    <s v="Marcus Martin"/>
    <s v="TRIPLE PLAY MDU"/>
    <s v="CONNECTED HOME NETWORK"/>
    <m/>
    <n v="125"/>
    <n v="40"/>
    <m/>
    <n v="165"/>
  </r>
  <r>
    <s v="Aug 9, 2022"/>
    <x v="20"/>
    <s v="kevin Jackson"/>
    <s v="DOUBLE PLAY"/>
    <s v="CONNECTED HOME NETWORK"/>
    <m/>
    <n v="155"/>
    <n v="40"/>
    <m/>
    <n v="195"/>
  </r>
  <r>
    <s v="Aug 9, 2022"/>
    <x v="21"/>
    <s v="kevin Jackson"/>
    <s v="TRIPLE PLAY MDU"/>
    <m/>
    <m/>
    <n v="125"/>
    <m/>
    <m/>
    <n v="125"/>
  </r>
  <r>
    <s v="Aug 9, 2022"/>
    <x v="22"/>
    <s v="Chris Ambler"/>
    <s v="SINGLE PLAY"/>
    <s v="CONNECTED HOME NETWORK"/>
    <m/>
    <n v="125"/>
    <n v="40"/>
    <m/>
    <n v="165"/>
  </r>
  <r>
    <s v="Aug 9, 2022"/>
    <x v="23"/>
    <s v="Chris Ambler"/>
    <s v="SINGLE PLAY"/>
    <m/>
    <m/>
    <n v="125"/>
    <m/>
    <m/>
    <n v="125"/>
  </r>
  <r>
    <s v="Aug 9, 2022"/>
    <x v="24"/>
    <s v="Marcus Martin"/>
    <s v="SINGLE PLAY"/>
    <s v="CONNECTED HOME NETWORK"/>
    <m/>
    <n v="125"/>
    <n v="40"/>
    <m/>
    <n v="165"/>
  </r>
  <r>
    <s v="Aug 9, 2022"/>
    <x v="25"/>
    <s v="Marcus Martin"/>
    <s v="SINGLE PLAY"/>
    <s v="CONNECTED HOME NETWORK"/>
    <m/>
    <n v="125"/>
    <n v="40"/>
    <m/>
    <n v="165"/>
  </r>
  <r>
    <s v="Aug 9, 2022"/>
    <x v="26"/>
    <s v="kevin Jackson"/>
    <s v="SINGLE PLAY"/>
    <m/>
    <m/>
    <n v="125"/>
    <n v="45"/>
    <m/>
    <n v="170"/>
  </r>
  <r>
    <s v="Aug 9, 2022"/>
    <x v="27"/>
    <s v="Chris Ambler"/>
    <s v="SINGLE PLAY"/>
    <s v="CONNECTED HOME NETWORK"/>
    <m/>
    <n v="125"/>
    <n v="40"/>
    <m/>
    <n v="165"/>
  </r>
  <r>
    <s v="Aug 9, 2022"/>
    <x v="28"/>
    <s v="kevin Jackson"/>
    <s v="SINGLE PLAY"/>
    <m/>
    <m/>
    <n v="125"/>
    <m/>
    <m/>
    <n v="125"/>
  </r>
  <r>
    <s v="Aug 9, 2022"/>
    <x v="29"/>
    <s v="Chris Ambler"/>
    <s v="SINGLE PLAY"/>
    <s v="CONNECTED HOME NETWORK"/>
    <m/>
    <n v="125"/>
    <n v="40"/>
    <m/>
    <n v="165"/>
  </r>
  <r>
    <s v="Aug 9, 2022"/>
    <x v="30"/>
    <s v="Marcus Martin"/>
    <s v="SINGLE PLAY"/>
    <s v="CONNECTED HOME NETWORK"/>
    <m/>
    <n v="125"/>
    <n v="40"/>
    <m/>
    <n v="165"/>
  </r>
  <r>
    <s v="Aug 10, 2022"/>
    <x v="31"/>
    <s v="Chris Ambler"/>
    <s v="SINGLE PLAY MDU"/>
    <m/>
    <m/>
    <n v="85"/>
    <m/>
    <m/>
    <n v="85"/>
  </r>
  <r>
    <s v="Aug 10, 2022"/>
    <x v="32"/>
    <s v="Chris Ambler"/>
    <s v="SINGLE PLAY MDU"/>
    <m/>
    <m/>
    <n v="85"/>
    <m/>
    <m/>
    <n v="85"/>
  </r>
  <r>
    <s v="Aug 10, 2022"/>
    <x v="33"/>
    <s v="Chris Ambler"/>
    <s v="SINGLE PLAY"/>
    <s v="CONNECTED HOME NETWORK"/>
    <m/>
    <n v="125"/>
    <n v="40"/>
    <m/>
    <n v="165"/>
  </r>
  <r>
    <s v="Aug 10, 2022"/>
    <x v="34"/>
    <s v="Chris Ambler"/>
    <s v="TRIPLE PLAY MDU"/>
    <s v="CONNECTED HOME NETWORK"/>
    <m/>
    <n v="125"/>
    <n v="40"/>
    <m/>
    <n v="165"/>
  </r>
  <r>
    <s v="Aug 10, 2022"/>
    <x v="35"/>
    <s v="kevin Jackson"/>
    <s v="SINGLE PLAY"/>
    <m/>
    <m/>
    <n v="125"/>
    <m/>
    <m/>
    <n v="125"/>
  </r>
  <r>
    <s v="Aug 10, 2022"/>
    <x v="36"/>
    <s v="kevin Jackson"/>
    <s v="SINGLE PLAY"/>
    <s v="CONNECTED HOME NETWORK"/>
    <m/>
    <n v="125"/>
    <n v="40"/>
    <m/>
    <n v="165"/>
  </r>
  <r>
    <s v="Aug 10, 2022"/>
    <x v="37"/>
    <s v="Remington Taylor"/>
    <s v="SINGLE PLAY"/>
    <s v="CONNECTED HOME NETWORK"/>
    <m/>
    <n v="125"/>
    <n v="40"/>
    <m/>
    <n v="165"/>
  </r>
  <r>
    <s v="Aug 10, 2022"/>
    <x v="38"/>
    <s v="Remington Taylor"/>
    <s v="TRIP CHARGE"/>
    <m/>
    <m/>
    <n v="40"/>
    <m/>
    <m/>
    <n v="40"/>
  </r>
  <r>
    <s v="Aug 10, 2022"/>
    <x v="39"/>
    <s v="Remington Taylor"/>
    <s v="SINGLE PLAY"/>
    <m/>
    <m/>
    <n v="125"/>
    <m/>
    <m/>
    <n v="125"/>
  </r>
  <r>
    <s v="Aug 10, 2022"/>
    <x v="40"/>
    <s v="Chris Ambler"/>
    <s v="DOUBLE PLAY MDU"/>
    <s v="CONNECTED HOME NETWORK"/>
    <m/>
    <n v="105"/>
    <n v="40"/>
    <m/>
    <n v="145"/>
  </r>
  <r>
    <s v="Aug 11, 2022"/>
    <x v="41"/>
    <s v="Marcus Martin"/>
    <s v="SINGLE PLAY"/>
    <s v="CONNECTED HOME NETWORK"/>
    <s v="NEW OUTLET INCLUDING BATTERY OUTLET/CAT 5"/>
    <n v="125"/>
    <n v="40"/>
    <n v="45"/>
    <n v="210"/>
  </r>
  <r>
    <s v="Aug 11, 2022"/>
    <x v="42"/>
    <s v="kevin Jackson"/>
    <s v="SINGLE PLAY"/>
    <s v="CONNECTED HOME NETWORK"/>
    <m/>
    <n v="125"/>
    <n v="40"/>
    <m/>
    <n v="165"/>
  </r>
  <r>
    <s v="Aug 11, 2022"/>
    <x v="43"/>
    <s v="kevin Jackson"/>
    <s v="SINGLE PLAY MDU"/>
    <s v="CONNECTED HOME NETWORK"/>
    <m/>
    <n v="85"/>
    <n v="40"/>
    <m/>
    <n v="125"/>
  </r>
  <r>
    <s v="Aug 11, 2022"/>
    <x v="44"/>
    <s v="Remington Taylor"/>
    <s v="TRIP CHARGE"/>
    <m/>
    <m/>
    <n v="40"/>
    <m/>
    <m/>
    <n v="40"/>
  </r>
  <r>
    <s v="Aug 11, 2022"/>
    <x v="45"/>
    <s v="Chris Ambler"/>
    <s v="SINGLE PLAY"/>
    <s v="CONNECTED HOME NETWORK"/>
    <m/>
    <n v="125"/>
    <n v="40"/>
    <m/>
    <n v="165"/>
  </r>
  <r>
    <s v="Aug 11, 2022"/>
    <x v="46"/>
    <s v="kevin Jackson"/>
    <s v="SINGLE PLAY MDU"/>
    <m/>
    <m/>
    <n v="85"/>
    <m/>
    <m/>
    <n v="85"/>
  </r>
  <r>
    <s v="Aug 11, 2022"/>
    <x v="47"/>
    <s v="Remington Taylor"/>
    <s v="DOUBLE PLAY MDU"/>
    <s v="CONNECTED HOME NETWORK"/>
    <m/>
    <n v="105"/>
    <n v="40"/>
    <m/>
    <n v="145"/>
  </r>
  <r>
    <s v="Aug 11, 2022"/>
    <x v="48"/>
    <s v="Chris Ambler"/>
    <s v="SINGLE PLAY"/>
    <s v="CONNECTED HOME NETWORK"/>
    <m/>
    <n v="125"/>
    <n v="40"/>
    <m/>
    <n v="165"/>
  </r>
  <r>
    <s v="Aug 11, 2022"/>
    <x v="49"/>
    <s v="kevin Jackson"/>
    <s v="DOUBLE PLAY MDU"/>
    <m/>
    <m/>
    <n v="105"/>
    <m/>
    <m/>
    <n v="105"/>
  </r>
  <r>
    <s v="Aug 11, 2022"/>
    <x v="50"/>
    <s v="Remington Taylor"/>
    <s v="TRIP CHARGE"/>
    <m/>
    <m/>
    <n v="40"/>
    <m/>
    <m/>
    <n v="40"/>
  </r>
  <r>
    <s v="Aug 11, 2022"/>
    <x v="51"/>
    <s v="Remington Taylor"/>
    <s v="SINGLE PLAY"/>
    <m/>
    <m/>
    <n v="125"/>
    <m/>
    <m/>
    <n v="125"/>
  </r>
  <r>
    <s v="Aug 11, 2022"/>
    <x v="52"/>
    <s v="Chris Ambler"/>
    <s v="SINGLE PLAY"/>
    <s v="CONNECTED HOME NETWORK"/>
    <m/>
    <n v="125"/>
    <n v="40"/>
    <m/>
    <n v="165"/>
  </r>
  <r>
    <s v="Aug 11, 2022"/>
    <x v="53"/>
    <s v="Chris Ambler"/>
    <s v="SINGLE PLAY"/>
    <m/>
    <m/>
    <n v="125"/>
    <m/>
    <m/>
    <n v="125"/>
  </r>
  <r>
    <s v="Aug 12, 2022"/>
    <x v="54"/>
    <s v="Marcus Martin"/>
    <s v="SINGLE PLAY"/>
    <s v="CONNECTED HOME NETWORK"/>
    <s v="NEW OUTLET INCLUDING BATTERY OUTLET/CAT 5"/>
    <n v="125"/>
    <n v="40"/>
    <n v="45"/>
    <n v="210"/>
  </r>
  <r>
    <s v="Aug 12, 2022"/>
    <x v="55"/>
    <s v="kevin Jackson"/>
    <s v="SINGLE PLAY"/>
    <m/>
    <m/>
    <n v="125"/>
    <m/>
    <m/>
    <n v="125"/>
  </r>
  <r>
    <s v="Aug 12, 2022"/>
    <x v="56"/>
    <s v="Remington Taylor"/>
    <s v="SINGLE PLAY"/>
    <s v="CONNECTED HOME NETWORK"/>
    <m/>
    <n v="125"/>
    <n v="40"/>
    <m/>
    <n v="165"/>
  </r>
  <r>
    <s v="Aug 12, 2022"/>
    <x v="57"/>
    <s v="Chris Ambler"/>
    <s v="SINGLE PLAY"/>
    <m/>
    <m/>
    <n v="125"/>
    <m/>
    <m/>
    <n v="125"/>
  </r>
  <r>
    <s v="Aug 12, 2022"/>
    <x v="58"/>
    <s v="Chris Ambler"/>
    <s v="SINGLE PLAY MDU"/>
    <m/>
    <m/>
    <n v="85"/>
    <m/>
    <m/>
    <n v="85"/>
  </r>
  <r>
    <s v="Aug 12, 2022"/>
    <x v="59"/>
    <s v="Chris Ambler"/>
    <s v="SINGLE PLAY MDU"/>
    <m/>
    <m/>
    <n v="85"/>
    <m/>
    <m/>
    <n v="85"/>
  </r>
  <r>
    <s v="Aug 12, 2022"/>
    <x v="60"/>
    <s v="kevin Jackson"/>
    <s v="DOUBLE PLAY"/>
    <s v="CONNECTED HOME NETWORK"/>
    <m/>
    <n v="155"/>
    <n v="40"/>
    <m/>
    <n v="195"/>
  </r>
  <r>
    <s v="Aug 12, 2022"/>
    <x v="61"/>
    <s v="Remington Taylor"/>
    <s v="TRIP CHARGE"/>
    <m/>
    <m/>
    <n v="40"/>
    <m/>
    <m/>
    <n v="40"/>
  </r>
  <r>
    <s v="Aug 12, 2022"/>
    <x v="62"/>
    <s v="Remington Taylor"/>
    <s v="SINGLE PLAY"/>
    <s v="CONNECTED HOME NETWORK"/>
    <m/>
    <n v="125"/>
    <n v="40"/>
    <m/>
    <n v="165"/>
  </r>
  <r>
    <s v="Aug 12, 2022"/>
    <x v="63"/>
    <s v="Chris Ambler"/>
    <s v="SINGLE PLAY MDU"/>
    <s v="CONNECTED HOME NETWORK"/>
    <m/>
    <n v="85"/>
    <n v="40"/>
    <m/>
    <n v="125"/>
  </r>
  <r>
    <s v="Aug 12, 2022"/>
    <x v="64"/>
    <s v="Chris Ambler"/>
    <s v="TRIPLE PLAY MDU"/>
    <s v="CONNECTED HOME NETWORK"/>
    <m/>
    <n v="125"/>
    <n v="40"/>
    <m/>
    <n v="165"/>
  </r>
  <r>
    <s v="Aug 12, 2022"/>
    <x v="65"/>
    <s v="kevin Jackson"/>
    <s v="DOUBLE PLAY MDU"/>
    <m/>
    <m/>
    <n v="105"/>
    <m/>
    <m/>
    <n v="105"/>
  </r>
  <r>
    <s v="Aug 12, 2022"/>
    <x v="66"/>
    <s v="kevin Jackson"/>
    <s v="SINGLE PLAY MDU"/>
    <m/>
    <m/>
    <n v="85"/>
    <m/>
    <m/>
    <n v="85"/>
  </r>
  <r>
    <s v="Aug 12, 2022"/>
    <x v="67"/>
    <s v="Chris Ambler"/>
    <s v="SINGLE PLAY MDU"/>
    <s v="CONNECTED HOME NETWORK"/>
    <m/>
    <n v="85"/>
    <n v="40"/>
    <m/>
    <n v="125"/>
  </r>
  <r>
    <s v="Aug 12, 2022"/>
    <x v="68"/>
    <s v="Chris Ambler"/>
    <s v="SINGLE PLAY"/>
    <s v="NEW OUTLET INCLUDING BATTERY OUTLET/CAT 5"/>
    <s v="CONNECTED HOME NETWORK"/>
    <n v="125"/>
    <n v="90"/>
    <n v="40"/>
    <n v="255"/>
  </r>
  <r>
    <s v="Aug 12, 2022"/>
    <x v="69"/>
    <s v="kevin Jackson"/>
    <s v="SINGLE PLAY"/>
    <s v="NEW OUTLET INCLUDING BATTERY OUTLET/CAT 5"/>
    <s v="CONNECTED HOME NETWORK"/>
    <n v="125"/>
    <n v="45"/>
    <n v="40"/>
    <n v="210"/>
  </r>
  <r>
    <s v="Aug 12, 2022"/>
    <x v="70"/>
    <s v="Remington Taylor"/>
    <s v="TRIP CHARGE"/>
    <m/>
    <m/>
    <n v="40"/>
    <m/>
    <m/>
    <n v="40"/>
  </r>
  <r>
    <d v="2022-08-12T00:00:00"/>
    <x v="71"/>
    <s v="Marcus Martin"/>
    <s v="TRIP CHARGE"/>
    <m/>
    <m/>
    <n v="40"/>
    <m/>
    <m/>
    <n v="40"/>
  </r>
  <r>
    <s v="Aug 13, 2022"/>
    <x v="72"/>
    <s v="Remington Taylor"/>
    <s v="SINGLE PLAY MDU"/>
    <s v="CONNECTED HOME NETWORK"/>
    <m/>
    <n v="85"/>
    <n v="40"/>
    <m/>
    <n v="125"/>
  </r>
  <r>
    <s v="Aug 13, 2022"/>
    <x v="71"/>
    <s v="Remington Taylor"/>
    <s v="SINGLE PLAY"/>
    <m/>
    <m/>
    <n v="125"/>
    <m/>
    <m/>
    <n v="125"/>
  </r>
  <r>
    <s v="Aug 13, 2022"/>
    <x v="73"/>
    <s v="Chris Ambler"/>
    <s v="SINGLE PLAY"/>
    <s v="CONNECTED HOME NETWORK"/>
    <m/>
    <n v="125"/>
    <n v="40"/>
    <m/>
    <n v="165"/>
  </r>
  <r>
    <s v="Aug 13, 2022"/>
    <x v="74"/>
    <s v="Remington Taylor"/>
    <s v="SINGLE PLAY"/>
    <s v="CONNECTED HOME NETWORK"/>
    <m/>
    <n v="125"/>
    <n v="40"/>
    <m/>
    <n v="165"/>
  </r>
  <r>
    <s v="Aug 13, 2022"/>
    <x v="75"/>
    <s v="Remington Taylor"/>
    <s v="SINGLE PLAY"/>
    <s v="CONNECTED HOME NETWORK"/>
    <m/>
    <n v="125"/>
    <n v="45"/>
    <n v="40"/>
    <n v="210"/>
  </r>
  <r>
    <s v="Aug 13, 2022"/>
    <x v="76"/>
    <s v="Chris Ambler"/>
    <s v="SINGLE PLAY"/>
    <s v="CONNECTED HOME NETWORK"/>
    <m/>
    <n v="125"/>
    <n v="40"/>
    <m/>
    <n v="165"/>
  </r>
  <r>
    <s v="Aug 13, 2022"/>
    <x v="77"/>
    <s v="Chris Ambler"/>
    <s v="SINGLE PLAY"/>
    <s v="CONNECTED HOME NETWORK"/>
    <m/>
    <n v="125"/>
    <n v="40"/>
    <m/>
    <n v="165"/>
  </r>
  <r>
    <s v="Aug 13, 2022"/>
    <x v="78"/>
    <s v="Chris Ambler"/>
    <s v="TRIP CHARGE"/>
    <m/>
    <m/>
    <n v="40"/>
    <m/>
    <m/>
    <n v="4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d v="2022-08-01T00:00:00"/>
    <x v="0"/>
    <s v="Chris Ambler"/>
    <s v="DOUBLE PLAY MDU"/>
    <m/>
    <m/>
    <n v="105"/>
    <m/>
    <m/>
    <n v="105"/>
  </r>
  <r>
    <d v="2022-08-01T00:00:00"/>
    <x v="1"/>
    <s v="kevin Jackson"/>
    <s v="SINGLE PLAY"/>
    <s v="CONNECTED HOME NETWORK"/>
    <m/>
    <n v="125"/>
    <n v="40"/>
    <m/>
    <n v="165"/>
  </r>
  <r>
    <d v="2022-08-01T00:00:00"/>
    <x v="2"/>
    <s v="kevin Jackson"/>
    <s v="SINGLE PLAY"/>
    <m/>
    <m/>
    <n v="125"/>
    <m/>
    <m/>
    <n v="125"/>
  </r>
  <r>
    <d v="2022-08-01T00:00:00"/>
    <x v="3"/>
    <s v="Chris Ambler"/>
    <s v="TRIPLE PLAY"/>
    <s v="CONNECTED HOME NETWORK"/>
    <m/>
    <n v="185"/>
    <n v="40"/>
    <m/>
    <n v="225"/>
  </r>
  <r>
    <d v="2022-08-01T00:00:00"/>
    <x v="4"/>
    <s v="Remington Taylor"/>
    <s v="SINGLE PLAY"/>
    <s v="CONNECTED HOME NETWORK"/>
    <m/>
    <n v="125"/>
    <n v="40"/>
    <m/>
    <n v="165"/>
  </r>
  <r>
    <d v="2022-08-01T00:00:00"/>
    <x v="5"/>
    <s v="Chris Ambler"/>
    <s v="SINGLE PLAY"/>
    <s v="CONNECTED HOME NETWORK"/>
    <m/>
    <n v="125"/>
    <n v="40"/>
    <m/>
    <n v="165"/>
  </r>
  <r>
    <d v="2022-08-01T00:00:00"/>
    <x v="6"/>
    <s v="Marcus Martin"/>
    <s v="SINGLE PLAY MDU"/>
    <s v="CONNECTED HOME NETWORK"/>
    <m/>
    <n v="85"/>
    <n v="40"/>
    <m/>
    <n v="125"/>
  </r>
  <r>
    <d v="2022-08-01T00:00:00"/>
    <x v="7"/>
    <s v="Marcus Martin"/>
    <s v="SINGLE PLAY"/>
    <s v="CONNECTED HOME NETWORK"/>
    <m/>
    <n v="125"/>
    <n v="40"/>
    <m/>
    <n v="165"/>
  </r>
  <r>
    <d v="2022-08-01T00:00:00"/>
    <x v="8"/>
    <s v="Remington Taylor"/>
    <s v="SINGLE PLAY"/>
    <s v="CONNECTED HOME NETWORK"/>
    <m/>
    <n v="125"/>
    <n v="40"/>
    <m/>
    <n v="165"/>
  </r>
  <r>
    <d v="2022-08-01T00:00:00"/>
    <x v="9"/>
    <s v="Remington Taylor"/>
    <s v="SINGLE PLAY"/>
    <s v="CONNECTED HOME NETWORK"/>
    <s v="NEW OUTLET INCLUDING BATTERY OUTLET/CAT 5"/>
    <n v="125"/>
    <n v="40"/>
    <n v="45"/>
    <n v="210"/>
  </r>
  <r>
    <d v="2022-08-01T00:00:00"/>
    <x v="10"/>
    <s v="kevin Jackson"/>
    <s v="SINGLE PLAY"/>
    <s v="CONNECTED HOME NETWORK"/>
    <m/>
    <n v="125"/>
    <n v="40"/>
    <m/>
    <n v="165"/>
  </r>
  <r>
    <d v="2022-08-01T00:00:00"/>
    <x v="11"/>
    <s v="Chris Ambler"/>
    <s v="SINGLE PLAY"/>
    <s v="CONNECTED HOME NETWORK"/>
    <m/>
    <n v="125"/>
    <n v="40"/>
    <m/>
    <n v="165"/>
  </r>
  <r>
    <d v="2022-08-01T00:00:00"/>
    <x v="12"/>
    <s v="Remington Taylor"/>
    <s v="TRIP CHARGE"/>
    <s v="CONNECTED HOME NETWORK"/>
    <m/>
    <n v="40"/>
    <n v="40"/>
    <m/>
    <n v="80"/>
  </r>
  <r>
    <d v="2022-08-01T00:00:00"/>
    <x v="13"/>
    <s v="Remington Taylor"/>
    <s v="SINGLE PLAY"/>
    <s v="CONNECTED HOME NETWORK"/>
    <m/>
    <n v="125"/>
    <n v="40"/>
    <m/>
    <n v="165"/>
  </r>
  <r>
    <d v="2022-08-02T00:00:00"/>
    <x v="14"/>
    <s v="Remington Taylor"/>
    <s v="SINGLE PLAY"/>
    <m/>
    <m/>
    <n v="125"/>
    <m/>
    <m/>
    <n v="125"/>
  </r>
  <r>
    <d v="2022-08-02T00:00:00"/>
    <x v="15"/>
    <s v="Chris Ambler"/>
    <s v="SINGLE PLAY MDU"/>
    <m/>
    <m/>
    <n v="85"/>
    <m/>
    <m/>
    <n v="85"/>
  </r>
  <r>
    <d v="2022-08-02T00:00:00"/>
    <x v="16"/>
    <s v="Chris Ambler"/>
    <s v="DOUBLE PLAY MDU"/>
    <s v="CONNECTED HOME NETWORK"/>
    <m/>
    <n v="105"/>
    <n v="40"/>
    <m/>
    <n v="145"/>
  </r>
  <r>
    <d v="2022-08-02T00:00:00"/>
    <x v="17"/>
    <s v="Remington Taylor"/>
    <s v="SINGLE PLAY "/>
    <s v="CONNECTED HOME NETWORK"/>
    <m/>
    <n v="125"/>
    <n v="40"/>
    <m/>
    <n v="165"/>
  </r>
  <r>
    <d v="2022-08-02T00:00:00"/>
    <x v="18"/>
    <s v="Chris Ambler"/>
    <s v="TRIPLE PLAY MDU"/>
    <s v="CONNECTED HOME NETWORK"/>
    <m/>
    <n v="125"/>
    <n v="40"/>
    <m/>
    <n v="165"/>
  </r>
  <r>
    <d v="2022-08-02T00:00:00"/>
    <x v="19"/>
    <s v="Chris Ambler"/>
    <s v="TRIPLE PLAY MDU"/>
    <s v="CONNECTED HOME NETWORK"/>
    <m/>
    <n v="125"/>
    <n v="40"/>
    <m/>
    <n v="165"/>
  </r>
  <r>
    <d v="2022-08-02T00:00:00"/>
    <x v="20"/>
    <s v="kevin Jackson"/>
    <s v="SINGLE PLAY"/>
    <s v="CONNECTED HOME NETWORK"/>
    <m/>
    <n v="125"/>
    <n v="40"/>
    <m/>
    <n v="165"/>
  </r>
  <r>
    <d v="2022-08-02T00:00:00"/>
    <x v="21"/>
    <s v="kevin Jackson"/>
    <s v="SINGLE PLAY"/>
    <s v="CONNECTED HOME NETWORK"/>
    <m/>
    <n v="125"/>
    <n v="40"/>
    <m/>
    <n v="165"/>
  </r>
  <r>
    <d v="2022-08-02T00:00:00"/>
    <x v="22"/>
    <s v="Marcus Martin"/>
    <s v="SINGLE PLAY"/>
    <m/>
    <m/>
    <n v="125"/>
    <m/>
    <m/>
    <n v="125"/>
  </r>
  <r>
    <d v="2022-08-02T00:00:00"/>
    <x v="23"/>
    <s v="Marcus Martin"/>
    <s v="SINGLE PLAY MDU"/>
    <s v="CONNECTED HOME NETWORK"/>
    <m/>
    <n v="85"/>
    <n v="40"/>
    <m/>
    <n v="125"/>
  </r>
  <r>
    <d v="2022-08-02T00:00:00"/>
    <x v="24"/>
    <s v="Marcus Martin"/>
    <s v="SINGLE PLAY MDU"/>
    <s v="CONNECTED HOME NETWORK"/>
    <m/>
    <n v="85"/>
    <n v="40"/>
    <m/>
    <n v="125"/>
  </r>
  <r>
    <d v="2022-08-02T00:00:00"/>
    <x v="25"/>
    <s v="Remington Taylor"/>
    <s v="SINGLE PLAY MDU"/>
    <m/>
    <m/>
    <n v="85"/>
    <m/>
    <m/>
    <n v="85"/>
  </r>
  <r>
    <d v="2022-08-02T00:00:00"/>
    <x v="26"/>
    <s v="kevin Jackson"/>
    <s v="SINGLE PLAY MDU"/>
    <s v="CONNECTED HOME NETWORK"/>
    <m/>
    <n v="85"/>
    <n v="40"/>
    <m/>
    <n v="125"/>
  </r>
  <r>
    <d v="2022-08-02T00:00:00"/>
    <x v="27"/>
    <s v="Remington Taylor"/>
    <s v="SINGLE PLAY"/>
    <s v="CONNECTED HOME NETWORK"/>
    <m/>
    <n v="125"/>
    <n v="40"/>
    <m/>
    <n v="165"/>
  </r>
  <r>
    <d v="2022-08-02T00:00:00"/>
    <x v="28"/>
    <s v="kevin Jackson"/>
    <s v="SINGLE PLAY MDU"/>
    <s v="CONNECTED HOME NETWORK"/>
    <m/>
    <n v="85"/>
    <n v="40"/>
    <m/>
    <n v="125"/>
  </r>
  <r>
    <d v="2022-08-02T00:00:00"/>
    <x v="29"/>
    <s v="Chris Ambler"/>
    <s v="SINGLE PLAY"/>
    <s v="CONNECTED HOME NETWORK"/>
    <m/>
    <n v="125"/>
    <n v="40"/>
    <m/>
    <n v="165"/>
  </r>
  <r>
    <d v="2022-08-02T00:00:00"/>
    <x v="30"/>
    <s v="Remington Taylor"/>
    <s v="SINGLE PLAY"/>
    <s v="CONNECTED HOME NETWORK"/>
    <m/>
    <n v="125"/>
    <n v="40"/>
    <m/>
    <n v="165"/>
  </r>
  <r>
    <d v="2022-08-02T00:00:00"/>
    <x v="31"/>
    <s v="Chris Ambler"/>
    <s v="SINGLE PLAY"/>
    <s v="CONNECTED HOME NETWORK"/>
    <m/>
    <n v="125"/>
    <n v="40"/>
    <m/>
    <n v="165"/>
  </r>
  <r>
    <d v="2022-08-02T00:00:00"/>
    <x v="32"/>
    <s v="Chris Ambler"/>
    <s v="TRIP CHARGE"/>
    <m/>
    <m/>
    <n v="40"/>
    <m/>
    <m/>
    <n v="40"/>
  </r>
  <r>
    <d v="2022-08-03T00:00:00"/>
    <x v="33"/>
    <s v="kevin Jackson"/>
    <s v="SINGLE PLAY"/>
    <s v="CONNECTED HOME NETWORK"/>
    <m/>
    <n v="125"/>
    <n v="40"/>
    <m/>
    <n v="165"/>
  </r>
  <r>
    <d v="2022-08-03T00:00:00"/>
    <x v="34"/>
    <s v="Chris Ambler"/>
    <s v="TRIP CHARGE"/>
    <m/>
    <m/>
    <n v="40"/>
    <m/>
    <m/>
    <n v="40"/>
  </r>
  <r>
    <d v="2022-08-03T00:00:00"/>
    <x v="35"/>
    <s v="Chris Ambler"/>
    <s v="SINGLE PLAY MDU"/>
    <m/>
    <m/>
    <n v="85"/>
    <m/>
    <m/>
    <n v="85"/>
  </r>
  <r>
    <d v="2022-08-03T00:00:00"/>
    <x v="36"/>
    <s v="Chris Ambler"/>
    <s v="DOUBLE PLAY MDU"/>
    <s v="CONNECTED HOME NETWORK"/>
    <m/>
    <n v="105"/>
    <m/>
    <n v="40"/>
    <n v="145"/>
  </r>
  <r>
    <d v="2022-08-03T00:00:00"/>
    <x v="37"/>
    <s v="Remington Taylor"/>
    <s v="SINGLE PLAY"/>
    <m/>
    <m/>
    <n v="125"/>
    <m/>
    <m/>
    <n v="125"/>
  </r>
  <r>
    <d v="2022-08-03T00:00:00"/>
    <x v="38"/>
    <s v="Chris Ambler"/>
    <s v="SINGLE PLAY MDU"/>
    <m/>
    <m/>
    <n v="85"/>
    <m/>
    <m/>
    <n v="85"/>
  </r>
  <r>
    <d v="2022-08-03T00:00:00"/>
    <x v="39"/>
    <s v="Chris Ambler"/>
    <s v="TRIPLE PLAY MDU"/>
    <s v="CONNECTED HOME NETWORK"/>
    <m/>
    <n v="125"/>
    <n v="40"/>
    <m/>
    <n v="165"/>
  </r>
  <r>
    <d v="2022-08-03T00:00:00"/>
    <x v="40"/>
    <s v="kevin Jackson"/>
    <s v="DOUBLE PLAY"/>
    <s v="CONNECTED HOME NETWORK"/>
    <m/>
    <n v="155"/>
    <n v="40"/>
    <m/>
    <n v="195"/>
  </r>
  <r>
    <d v="2022-08-03T00:00:00"/>
    <x v="41"/>
    <s v="kevin Jackson"/>
    <s v="DOUBLE PLAY MDU"/>
    <s v="CONNECTED HOME NETWORK"/>
    <m/>
    <n v="105"/>
    <m/>
    <n v="40"/>
    <n v="145"/>
  </r>
  <r>
    <d v="2022-08-03T00:00:00"/>
    <x v="42"/>
    <s v="Remington Taylor"/>
    <s v="TRIP CHARGE"/>
    <m/>
    <m/>
    <n v="40"/>
    <m/>
    <m/>
    <n v="40"/>
  </r>
  <r>
    <d v="2022-08-03T00:00:00"/>
    <x v="43"/>
    <s v="Remington Taylor"/>
    <s v="SINGLE PLAY"/>
    <m/>
    <m/>
    <n v="125"/>
    <m/>
    <m/>
    <n v="125"/>
  </r>
  <r>
    <d v="2022-08-03T00:00:00"/>
    <x v="44"/>
    <s v="kevin Jackson"/>
    <s v="SINGLE PLAY MDU"/>
    <s v="CONNECTED HOME NETWORK"/>
    <m/>
    <n v="85"/>
    <n v="40"/>
    <m/>
    <n v="125"/>
  </r>
  <r>
    <d v="2022-08-03T00:00:00"/>
    <x v="45"/>
    <s v="Remington Taylor"/>
    <s v="SINGLE PLAY"/>
    <s v="CONNECTED HOME NETWORK"/>
    <m/>
    <n v="125"/>
    <n v="40"/>
    <m/>
    <n v="165"/>
  </r>
  <r>
    <d v="2022-08-04T00:00:00"/>
    <x v="46"/>
    <s v="Chris Ambler"/>
    <s v="SINGLE PLAY MDU"/>
    <m/>
    <m/>
    <n v="85"/>
    <m/>
    <m/>
    <n v="85"/>
  </r>
  <r>
    <d v="2022-08-04T00:00:00"/>
    <x v="47"/>
    <s v="Chris Ambler"/>
    <s v="SINGLE PLAY MDU"/>
    <m/>
    <m/>
    <n v="85"/>
    <m/>
    <m/>
    <n v="85"/>
  </r>
  <r>
    <d v="2022-08-04T00:00:00"/>
    <x v="48"/>
    <s v="Chris Ambler"/>
    <s v="SINGLE PLAY MDU"/>
    <m/>
    <m/>
    <n v="85"/>
    <m/>
    <m/>
    <n v="85"/>
  </r>
  <r>
    <d v="2022-08-04T00:00:00"/>
    <x v="49"/>
    <s v="Chris Ambler"/>
    <s v="SINGLE PLAY MDU"/>
    <m/>
    <m/>
    <n v="85"/>
    <m/>
    <m/>
    <n v="85"/>
  </r>
  <r>
    <d v="2022-08-04T00:00:00"/>
    <x v="50"/>
    <s v="Marcus Martin"/>
    <s v="SINGLE PLAY"/>
    <s v="CONNECTED HOME NETWORK"/>
    <m/>
    <n v="125"/>
    <n v="40"/>
    <m/>
    <n v="165"/>
  </r>
  <r>
    <d v="2022-08-04T00:00:00"/>
    <x v="51"/>
    <s v="Marcus Martin"/>
    <s v="SINGLE PLAY"/>
    <s v="CONNECTED HOME NETWORK"/>
    <m/>
    <n v="125"/>
    <n v="40"/>
    <m/>
    <n v="165"/>
  </r>
  <r>
    <d v="2022-08-04T00:00:00"/>
    <x v="52"/>
    <s v="Chris Ambler"/>
    <s v="SINGLE PLAY MDU"/>
    <m/>
    <m/>
    <n v="85"/>
    <m/>
    <m/>
    <n v="85"/>
  </r>
  <r>
    <d v="2022-08-04T00:00:00"/>
    <x v="53"/>
    <s v="kevin Jackson"/>
    <s v="SINGLE PLAY"/>
    <s v="CONNECTED HOME NETWORK"/>
    <m/>
    <n v="125"/>
    <n v="40"/>
    <m/>
    <n v="165"/>
  </r>
  <r>
    <d v="2022-08-04T00:00:00"/>
    <x v="54"/>
    <s v="kevin Jackson"/>
    <s v="SINGLE PLAY"/>
    <s v="CONNECTED HOME NETWORK"/>
    <m/>
    <n v="125"/>
    <n v="40"/>
    <m/>
    <n v="165"/>
  </r>
  <r>
    <d v="2022-08-04T00:00:00"/>
    <x v="55"/>
    <s v="Chris Ambler"/>
    <s v="SINGLE PLAY"/>
    <m/>
    <m/>
    <n v="125"/>
    <m/>
    <m/>
    <n v="125"/>
  </r>
  <r>
    <d v="2022-08-04T00:00:00"/>
    <x v="56"/>
    <s v="kevin Jackson"/>
    <s v="SINGLE PLAY"/>
    <s v="CONNECTED HOME NETWORK"/>
    <m/>
    <n v="125"/>
    <n v="40"/>
    <m/>
    <n v="165"/>
  </r>
  <r>
    <d v="2022-08-04T00:00:00"/>
    <x v="57"/>
    <s v="Chris Ambler"/>
    <s v="TRIP CHARGE"/>
    <m/>
    <m/>
    <n v="40"/>
    <m/>
    <m/>
    <n v="40"/>
  </r>
  <r>
    <d v="2022-08-05T00:00:00"/>
    <x v="58"/>
    <s v="Marcus Martin"/>
    <s v="SINGLE PLAY"/>
    <s v="CONNECTED HOME NETWORK"/>
    <m/>
    <n v="125"/>
    <n v="40"/>
    <m/>
    <n v="165"/>
  </r>
  <r>
    <d v="2022-08-05T00:00:00"/>
    <x v="59"/>
    <s v="Marcus Martin"/>
    <s v="DOUBLE PLAY MDU"/>
    <s v="CONNECTED HOME NETWORK"/>
    <m/>
    <n v="105"/>
    <n v="40"/>
    <m/>
    <n v="145"/>
  </r>
  <r>
    <d v="2022-08-05T00:00:00"/>
    <x v="60"/>
    <s v="Marcus Martin"/>
    <s v="SINGLE PLAY"/>
    <s v="CONNECTED HOME NETWORK"/>
    <m/>
    <n v="125"/>
    <n v="40"/>
    <m/>
    <n v="165"/>
  </r>
  <r>
    <d v="2022-08-05T00:00:00"/>
    <x v="61"/>
    <s v="Marcus Martin"/>
    <s v="SINGLE PLAY"/>
    <s v="CONNECTED HOME NETWORK"/>
    <m/>
    <n v="125"/>
    <n v="40"/>
    <n v="45"/>
    <n v="210"/>
  </r>
  <r>
    <d v="2022-08-05T00:00:00"/>
    <x v="62"/>
    <s v="Remington Taylor"/>
    <s v="SINGLE PLAY"/>
    <m/>
    <m/>
    <n v="125"/>
    <m/>
    <m/>
    <n v="125"/>
  </r>
  <r>
    <d v="2022-08-05T00:00:00"/>
    <x v="63"/>
    <s v="Remington Taylor"/>
    <s v="TRIPLE PLAY MDU"/>
    <s v="CONNECTED HOME NETWORK"/>
    <m/>
    <n v="125"/>
    <n v="40"/>
    <m/>
    <n v="165"/>
  </r>
  <r>
    <d v="2022-08-05T00:00:00"/>
    <x v="64"/>
    <s v="Chris Ambler"/>
    <s v="SINGLE PLAY MDU"/>
    <m/>
    <m/>
    <n v="85"/>
    <m/>
    <m/>
    <n v="85"/>
  </r>
  <r>
    <d v="2022-08-05T00:00:00"/>
    <x v="65"/>
    <s v="Chris Ambler"/>
    <s v="SINGLE PLAY MDU"/>
    <m/>
    <m/>
    <n v="85"/>
    <m/>
    <m/>
    <n v="85"/>
  </r>
  <r>
    <d v="2022-08-05T00:00:00"/>
    <x v="66"/>
    <s v="Chris Ambler"/>
    <s v="SINGLE PLAY MDU"/>
    <m/>
    <m/>
    <n v="85"/>
    <m/>
    <m/>
    <n v="85"/>
  </r>
  <r>
    <d v="2022-08-05T00:00:00"/>
    <x v="67"/>
    <s v="Chris Ambler"/>
    <s v="SINGLE PLAY MDU"/>
    <m/>
    <m/>
    <n v="85"/>
    <m/>
    <m/>
    <n v="85"/>
  </r>
  <r>
    <d v="2022-08-05T00:00:00"/>
    <x v="68"/>
    <s v="Chris Ambler"/>
    <s v="SINGLE PLAY MDU"/>
    <m/>
    <m/>
    <n v="85"/>
    <m/>
    <m/>
    <n v="85"/>
  </r>
  <r>
    <d v="2022-08-05T00:00:00"/>
    <x v="69"/>
    <s v="kevin Jackson"/>
    <s v="EMTA Conversion"/>
    <m/>
    <m/>
    <n v="85"/>
    <m/>
    <m/>
    <n v="85"/>
  </r>
  <r>
    <d v="2022-08-05T00:00:00"/>
    <x v="70"/>
    <s v="Remington Taylor"/>
    <s v="DOUBLE PLAY MDU"/>
    <m/>
    <m/>
    <n v="105"/>
    <m/>
    <m/>
    <n v="105"/>
  </r>
  <r>
    <d v="2022-08-05T00:00:00"/>
    <x v="71"/>
    <s v="kevin Jackson"/>
    <s v="DOUBLE PLAY MDU"/>
    <m/>
    <m/>
    <n v="105"/>
    <m/>
    <m/>
    <n v="105"/>
  </r>
  <r>
    <d v="2022-08-05T00:00:00"/>
    <x v="72"/>
    <s v="kevin Jackson"/>
    <s v="SINGLE PLAY"/>
    <s v="CONNECTED HOME NETWORK"/>
    <m/>
    <n v="125"/>
    <n v="40"/>
    <m/>
    <n v="165"/>
  </r>
  <r>
    <d v="2022-08-05T00:00:00"/>
    <x v="73"/>
    <s v="Chris Ambler"/>
    <s v="SINGLE PLAY MDU"/>
    <m/>
    <m/>
    <n v="85"/>
    <m/>
    <m/>
    <n v="85"/>
  </r>
  <r>
    <d v="2022-08-05T00:00:00"/>
    <x v="74"/>
    <s v="Chris Ambler"/>
    <s v="SINGLE PLAY"/>
    <m/>
    <m/>
    <n v="125"/>
    <m/>
    <m/>
    <n v="125"/>
  </r>
  <r>
    <d v="2022-08-05T00:00:00"/>
    <x v="75"/>
    <s v="kevin Jackson"/>
    <s v="SINGLE PLAY MDU"/>
    <s v="CONNECTED HOME NETWORK"/>
    <s v=" "/>
    <n v="85"/>
    <n v="40"/>
    <m/>
    <n v="125"/>
  </r>
  <r>
    <d v="2022-08-05T00:00:00"/>
    <x v="76"/>
    <s v="Remington Taylor"/>
    <s v="TRIP CHARGE"/>
    <m/>
    <m/>
    <n v="40"/>
    <m/>
    <m/>
    <n v="40"/>
  </r>
  <r>
    <d v="2022-08-05T00:00:00"/>
    <x v="77"/>
    <s v="Chris Ambler"/>
    <s v="DOUBLE PLAY MDU"/>
    <s v="CONNECTED HOME NETWORK"/>
    <m/>
    <n v="105"/>
    <n v="40"/>
    <m/>
    <n v="145"/>
  </r>
  <r>
    <d v="2022-08-05T00:00:00"/>
    <x v="78"/>
    <s v="Remington Taylor"/>
    <s v="SINGLE PLAY"/>
    <m/>
    <m/>
    <n v="125"/>
    <m/>
    <m/>
    <n v="125"/>
  </r>
  <r>
    <d v="2022-08-06T00:00:00"/>
    <x v="79"/>
    <s v="Chris Ambler"/>
    <s v="DOUBLE PLAY"/>
    <m/>
    <m/>
    <n v="155"/>
    <m/>
    <m/>
    <n v="155"/>
  </r>
  <r>
    <d v="2022-08-06T00:00:00"/>
    <x v="80"/>
    <s v="Remington Taylor"/>
    <s v="TRIP CHARGE"/>
    <m/>
    <m/>
    <n v="40"/>
    <m/>
    <m/>
    <n v="40"/>
  </r>
  <r>
    <d v="2022-08-06T00:00:00"/>
    <x v="81"/>
    <s v="Remington Taylor"/>
    <s v="SINGLE PLAY"/>
    <m/>
    <m/>
    <n v="125"/>
    <m/>
    <m/>
    <n v="125"/>
  </r>
  <r>
    <d v="2022-08-06T00:00:00"/>
    <x v="82"/>
    <s v="Chris Ambler"/>
    <s v="SINGLE PLAY"/>
    <s v="CONNECTED HOME NETWORK"/>
    <m/>
    <n v="125"/>
    <n v="40"/>
    <m/>
    <n v="165"/>
  </r>
  <r>
    <d v="2022-08-06T00:00:00"/>
    <x v="83"/>
    <s v="Remington Taylor"/>
    <s v="SINGLE PLAY MDU"/>
    <s v="CONNECTED HOME NETWORK"/>
    <m/>
    <n v="85"/>
    <n v="40"/>
    <m/>
    <n v="12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Jul 11, 2022"/>
    <x v="0"/>
    <s v="Derick Martin"/>
    <s v="SINGLE PLAY"/>
    <s v="HOOK UP HOME NETWORK"/>
    <m/>
    <n v="125"/>
    <n v="40"/>
    <m/>
    <n v="165"/>
  </r>
  <r>
    <s v="Jul 11, 2022"/>
    <x v="1"/>
    <s v="Derick Martin"/>
    <s v="TRIP CHARGE"/>
    <m/>
    <m/>
    <n v="40"/>
    <m/>
    <m/>
    <n v="40"/>
  </r>
  <r>
    <s v="Jul 11, 2022"/>
    <x v="2"/>
    <s v="Derick Martin"/>
    <s v="TRIP CHARGE"/>
    <m/>
    <m/>
    <n v="40"/>
    <m/>
    <m/>
    <n v="40"/>
  </r>
  <r>
    <s v="Jul 11, 2022"/>
    <x v="3"/>
    <s v="Derick Martin"/>
    <s v="SINGLE PLAY"/>
    <s v="HOOK UP HOME NETWORK"/>
    <m/>
    <n v="125"/>
    <n v="40"/>
    <m/>
    <n v="165"/>
  </r>
  <r>
    <s v="Jul 11, 2022"/>
    <x v="4"/>
    <s v="Derick Martin"/>
    <s v="SINGLE PLAY"/>
    <s v="HOOK UP HOME NETWORK"/>
    <m/>
    <n v="125"/>
    <n v="40"/>
    <m/>
    <n v="165"/>
  </r>
  <r>
    <s v="Jul 11, 2022"/>
    <x v="5"/>
    <s v="Marcus Martin"/>
    <s v="DOUBLE PLAY MDU"/>
    <s v="HOOK UP HOME NETWORK"/>
    <m/>
    <n v="105"/>
    <n v="40"/>
    <m/>
    <n v="145"/>
  </r>
  <r>
    <s v="Jul 11, 2022"/>
    <x v="6"/>
    <s v="Marcus Martin"/>
    <s v="SINGLE PLAY MDU"/>
    <m/>
    <m/>
    <n v="85"/>
    <m/>
    <m/>
    <n v="85"/>
  </r>
  <r>
    <s v="Jul 11, 2022"/>
    <x v="7"/>
    <s v="Marcus Martin"/>
    <s v="SINGLE PLAY"/>
    <s v="HOOK UP HOME NETWORK"/>
    <m/>
    <n v="125"/>
    <n v="40"/>
    <m/>
    <n v="165"/>
  </r>
  <r>
    <s v="Jul 11, 2022"/>
    <x v="8"/>
    <s v="Marcus Martin"/>
    <s v="SINGLE PLAY"/>
    <s v="HOOK UP HOME NETWORK"/>
    <m/>
    <n v="125"/>
    <n v="40"/>
    <m/>
    <n v="165"/>
  </r>
  <r>
    <s v="Jul 11, 2022"/>
    <x v="9"/>
    <s v="Marcus Martin"/>
    <s v="SINGLE PLAY MDU"/>
    <m/>
    <m/>
    <n v="85"/>
    <m/>
    <m/>
    <n v="85"/>
  </r>
  <r>
    <s v="Jul 11, 2022"/>
    <x v="10"/>
    <s v="Marcus Martin"/>
    <s v="SINGLE PLAY"/>
    <s v="HOOK UP HOME NETWORK"/>
    <m/>
    <n v="125"/>
    <n v="40"/>
    <m/>
    <n v="165"/>
  </r>
  <r>
    <s v="Jul 11, 2022"/>
    <x v="11"/>
    <s v="Marcus Martin"/>
    <s v="SINGLE PLAY MDU"/>
    <s v="HOOK UP HOME NETWORK"/>
    <m/>
    <n v="85"/>
    <n v="40"/>
    <m/>
    <n v="125"/>
  </r>
  <r>
    <s v="Jul 11, 2022"/>
    <x v="12"/>
    <s v="Marcus Martin"/>
    <s v="SINGLE PLAY"/>
    <s v="HOOK UP HOME NETWORK"/>
    <m/>
    <n v="125"/>
    <n v="40"/>
    <m/>
    <n v="165"/>
  </r>
  <r>
    <s v="Jul 12, 2022"/>
    <x v="13"/>
    <s v="Marcus Martin"/>
    <s v="SINGLE PLAY"/>
    <m/>
    <s v="HOOK UP HOME NETWORK"/>
    <n v="125"/>
    <m/>
    <n v="40"/>
    <n v="165"/>
  </r>
  <r>
    <s v="Jul 12, 2022"/>
    <x v="14"/>
    <s v="Marcus Martin"/>
    <s v="SINGLE PLAY MDU"/>
    <m/>
    <m/>
    <n v="85"/>
    <m/>
    <m/>
    <n v="85"/>
  </r>
  <r>
    <s v="Jul 12, 2022"/>
    <x v="15"/>
    <s v="Marcus Martin"/>
    <s v="SINGLE PLAY MDU"/>
    <m/>
    <s v="HOOK UP HOME NETWORK"/>
    <n v="85"/>
    <m/>
    <n v="40"/>
    <n v="125"/>
  </r>
  <r>
    <s v="Jul 12, 2022"/>
    <x v="16"/>
    <s v="Marcus Martin"/>
    <s v="SINGLE PLAY MDU"/>
    <m/>
    <m/>
    <n v="85"/>
    <m/>
    <m/>
    <n v="85"/>
  </r>
  <r>
    <s v="Jul 12, 2022"/>
    <x v="17"/>
    <s v="Marcus Martin"/>
    <s v="SINGLE PLAY MDU"/>
    <m/>
    <m/>
    <n v="85"/>
    <m/>
    <m/>
    <n v="85"/>
  </r>
  <r>
    <s v="Jul 12, 2022"/>
    <x v="18"/>
    <s v="Derrick Martin"/>
    <s v="SINGLE PLAY"/>
    <m/>
    <s v="HOOK UP HOME NETWORK"/>
    <n v="125"/>
    <m/>
    <n v="40"/>
    <n v="165"/>
  </r>
  <r>
    <s v="Jul 12, 2022"/>
    <x v="19"/>
    <s v="Marcus Martin"/>
    <s v="SINGLE PLAY MDU"/>
    <m/>
    <m/>
    <n v="85"/>
    <m/>
    <m/>
    <n v="85"/>
  </r>
  <r>
    <s v="Jul 12, 2022"/>
    <x v="20"/>
    <s v="Marcus Martin"/>
    <s v="SINGLE PLAY MDU"/>
    <m/>
    <m/>
    <n v="85"/>
    <m/>
    <m/>
    <n v="85"/>
  </r>
  <r>
    <s v="Jul 12, 2022"/>
    <x v="21"/>
    <s v="Derrick Martin"/>
    <s v="Whole Home Conversion"/>
    <m/>
    <m/>
    <n v="225"/>
    <m/>
    <m/>
    <n v="225"/>
  </r>
  <r>
    <s v="Jul 12, 2022"/>
    <x v="22"/>
    <s v="Marcus Martin"/>
    <s v="SINGLE PLAY MDU"/>
    <m/>
    <m/>
    <n v="85"/>
    <m/>
    <m/>
    <n v="85"/>
  </r>
  <r>
    <s v="Jul 12, 2022"/>
    <x v="23"/>
    <s v="Derrick Martin"/>
    <s v="SINGLE PLAY MDU"/>
    <m/>
    <s v="HOOK UP HOME NETWORK"/>
    <n v="85"/>
    <m/>
    <n v="40"/>
    <n v="125"/>
  </r>
  <r>
    <s v="Jul 12, 2022"/>
    <x v="24"/>
    <s v="Derrick Martin"/>
    <s v="Triple Play MDU"/>
    <m/>
    <s v="HOOK UP HOME NETWORK"/>
    <n v="125"/>
    <m/>
    <n v="40"/>
    <n v="165"/>
  </r>
  <r>
    <s v="Jul 12, 2022"/>
    <x v="25"/>
    <s v="Derrick Martin"/>
    <s v="SINGLE PLAY"/>
    <m/>
    <s v="HOOK UP HOME NETWORK"/>
    <n v="125"/>
    <m/>
    <n v="40"/>
    <n v="165"/>
  </r>
  <r>
    <s v="Jul 13, 2022"/>
    <x v="26"/>
    <s v="Derrick Martin"/>
    <s v="SINGLE PLAY"/>
    <m/>
    <s v="HOOK UP HOME NETWORK"/>
    <n v="125"/>
    <n v="40"/>
    <m/>
    <n v="165"/>
  </r>
  <r>
    <s v="Jul 13, 2022"/>
    <x v="27"/>
    <s v="Derrick Martin"/>
    <s v="SINGLE PLAY"/>
    <m/>
    <s v="HOOK UP HOME NETWORK"/>
    <n v="125"/>
    <n v="40"/>
    <m/>
    <n v="165"/>
  </r>
  <r>
    <s v="Jul 13, 2022"/>
    <x v="28"/>
    <s v="Derrick Martin"/>
    <s v="TRIP CHARGE"/>
    <m/>
    <m/>
    <n v="40"/>
    <m/>
    <m/>
    <n v="40"/>
  </r>
  <r>
    <s v="Jul 13, 2022"/>
    <x v="29"/>
    <s v="Derrick Martin"/>
    <s v="DOUBLE PLAY MDU"/>
    <m/>
    <s v="HOOK UP HOME NETWORK"/>
    <n v="105"/>
    <n v="40"/>
    <m/>
    <n v="145"/>
  </r>
  <r>
    <s v="Jul 13, 2022"/>
    <x v="30"/>
    <s v="Derrick Martin"/>
    <s v="SINGLE PLAY"/>
    <m/>
    <s v="HOOK UP HOME NETWORK"/>
    <n v="125"/>
    <n v="40"/>
    <m/>
    <n v="165"/>
  </r>
  <r>
    <s v="Jul 13, 2022"/>
    <x v="31"/>
    <s v="Derrick Martin"/>
    <s v="SINGLE PLAY MDU"/>
    <m/>
    <s v="HOOK UP HOME NETWORK"/>
    <n v="85"/>
    <n v="40"/>
    <m/>
    <n v="125"/>
  </r>
  <r>
    <s v="Jul 13, 2022"/>
    <x v="32"/>
    <s v="Marcus Martin"/>
    <s v="SINGLE PLAY"/>
    <m/>
    <s v="HOOK UP HOME NETWORK"/>
    <n v="125"/>
    <n v="40"/>
    <m/>
    <n v="165"/>
  </r>
  <r>
    <s v="Jul 13, 2022"/>
    <x v="33"/>
    <s v="Derrick Martin"/>
    <s v="SINGLE PLAY"/>
    <m/>
    <s v="HOOK UP HOME NETWORK"/>
    <n v="125"/>
    <n v="40"/>
    <m/>
    <n v="165"/>
  </r>
  <r>
    <s v="Jul 13, 2022"/>
    <x v="34"/>
    <s v="Marcus Martin"/>
    <s v="SINGLE PLAY"/>
    <m/>
    <s v="HOOK UP HOME NETWORK"/>
    <n v="125"/>
    <n v="40"/>
    <m/>
    <n v="165"/>
  </r>
  <r>
    <s v="Jul 13, 2022"/>
    <x v="35"/>
    <s v="Marcus Martin"/>
    <s v="SINGLE PLAY"/>
    <m/>
    <s v="HOOK UP HOME NETWORK"/>
    <n v="125"/>
    <n v="40"/>
    <m/>
    <n v="165"/>
  </r>
  <r>
    <s v="Jul 13, 2022"/>
    <x v="36"/>
    <s v="Marcus Martin"/>
    <s v="DOUBLE PLAY MDU"/>
    <m/>
    <m/>
    <n v="105"/>
    <m/>
    <m/>
    <n v="105"/>
  </r>
  <r>
    <s v="Jul 13, 2022"/>
    <x v="37"/>
    <s v="Marcus Martin"/>
    <s v="SINGLE PLAY"/>
    <m/>
    <s v="HOOK UP HOME NETWORK"/>
    <n v="125"/>
    <n v="40"/>
    <m/>
    <n v="165"/>
  </r>
  <r>
    <s v="Jul 13, 2022"/>
    <x v="38"/>
    <s v="Marcus Martin"/>
    <s v="TRIP CHARGE"/>
    <s v="NEW OUTLET INCLUDING BATTERY OUTLET/CAT 5"/>
    <m/>
    <n v="40"/>
    <m/>
    <m/>
    <n v="40"/>
  </r>
  <r>
    <s v="Jul 13, 2022"/>
    <x v="39"/>
    <s v="Remington Taylor"/>
    <s v="SINGLE PLAY"/>
    <m/>
    <s v="HOOK UP HOME NETWORK"/>
    <n v="125"/>
    <n v="40"/>
    <m/>
    <n v="165"/>
  </r>
  <r>
    <s v="Jul 13, 2022"/>
    <x v="40"/>
    <s v="Remington Taylor"/>
    <s v="SINGLE PLAY"/>
    <m/>
    <s v="HOOK UP HOME NETWORK"/>
    <n v="125"/>
    <n v="40"/>
    <m/>
    <n v="165"/>
  </r>
  <r>
    <s v="Jul 14, 2022"/>
    <x v="41"/>
    <s v="Marcus Martin"/>
    <s v="SINGLE PLAY MDU"/>
    <m/>
    <m/>
    <n v="85"/>
    <m/>
    <m/>
    <n v="85"/>
  </r>
  <r>
    <s v="Jul 14, 2022"/>
    <x v="42"/>
    <s v="Marcus Martin"/>
    <s v="DOUBLE PLAY MDU"/>
    <s v="HOOK UP HOME NETWORK"/>
    <m/>
    <n v="105"/>
    <n v="40"/>
    <m/>
    <n v="145"/>
  </r>
  <r>
    <s v="Jul 14, 2022"/>
    <x v="43"/>
    <s v="Marcus Martin"/>
    <s v="SINGLE PLAY"/>
    <s v="HOOK UP HOME NETWORK"/>
    <m/>
    <n v="125"/>
    <n v="40"/>
    <m/>
    <n v="165"/>
  </r>
  <r>
    <s v="Jul 14, 2022"/>
    <x v="44"/>
    <s v="Derrick Martin"/>
    <s v="SINGLE PLAY"/>
    <s v="HOOK UP HOME NETWORK"/>
    <m/>
    <n v="125"/>
    <n v="40"/>
    <m/>
    <n v="165"/>
  </r>
  <r>
    <s v="Jul 14, 2022"/>
    <x v="45"/>
    <s v="Derrick Martin"/>
    <s v="SINGLE PLAY"/>
    <s v="HOOK UP HOME NETWORK"/>
    <m/>
    <n v="125"/>
    <n v="40"/>
    <m/>
    <n v="165"/>
  </r>
  <r>
    <s v="Jul 14, 2022"/>
    <x v="46"/>
    <s v="Derrick Martin"/>
    <s v="SINGLE PLAY"/>
    <m/>
    <m/>
    <n v="125"/>
    <m/>
    <m/>
    <n v="125"/>
  </r>
  <r>
    <s v="Jul 14, 2022"/>
    <x v="47"/>
    <s v="Derrick Martin"/>
    <s v="SINGLE PLAY"/>
    <m/>
    <m/>
    <n v="125"/>
    <m/>
    <m/>
    <n v="125"/>
  </r>
  <r>
    <s v="Jul 14, 2022"/>
    <x v="48"/>
    <s v="Derrick Martin"/>
    <s v="DOUBLE PLAY MDU"/>
    <s v="HOOK UP HOME NETWORK"/>
    <m/>
    <n v="105"/>
    <n v="40"/>
    <m/>
    <n v="145"/>
  </r>
  <r>
    <s v="Jul 14, 2022"/>
    <x v="49"/>
    <s v="Derrick Martin"/>
    <s v="SINGLE PLAY"/>
    <s v="HOOK UP HOME NETWORK"/>
    <m/>
    <n v="125"/>
    <n v="40"/>
    <m/>
    <n v="165"/>
  </r>
  <r>
    <s v="Jul 14, 2022"/>
    <x v="50"/>
    <s v="Derrick Martin"/>
    <s v="SINGLE PLAY"/>
    <m/>
    <m/>
    <n v="125"/>
    <m/>
    <m/>
    <n v="125"/>
  </r>
  <r>
    <s v="Jul 14, 2022"/>
    <x v="51"/>
    <s v="Marcus Martin"/>
    <s v="TRIP CHARGE"/>
    <m/>
    <m/>
    <n v="40"/>
    <m/>
    <m/>
    <n v="40"/>
  </r>
  <r>
    <s v="Jul 14, 2022"/>
    <x v="52"/>
    <s v="Marcus Martin"/>
    <s v="Triple Play MDU"/>
    <s v="HOOK UP HOME NETWORK"/>
    <m/>
    <n v="125"/>
    <n v="40"/>
    <m/>
    <n v="165"/>
  </r>
  <r>
    <s v="Jul 14, 2022"/>
    <x v="53"/>
    <s v="Marcus Martin"/>
    <s v="SINGLE PLAY"/>
    <s v="HOOK UP HOME NETWORK"/>
    <m/>
    <n v="125"/>
    <n v="40"/>
    <m/>
    <n v="165"/>
  </r>
  <r>
    <s v="Jul 14, 2022"/>
    <x v="54"/>
    <s v="Marcus Martin"/>
    <s v="SINGLE PLAY MDU"/>
    <m/>
    <m/>
    <n v="85"/>
    <m/>
    <m/>
    <n v="85"/>
  </r>
  <r>
    <s v="Jul 14, 2022"/>
    <x v="55"/>
    <s v="Marcus Martin"/>
    <s v="SINGLE PLAY MDU"/>
    <m/>
    <m/>
    <n v="85"/>
    <m/>
    <m/>
    <n v="85"/>
  </r>
  <r>
    <s v="Jul 14, 2022"/>
    <x v="56"/>
    <s v="Derrick Martin"/>
    <s v="SINGLE PLAY MDU"/>
    <m/>
    <s v="HOOK UP HOME NETWORK"/>
    <n v="85"/>
    <n v="40"/>
    <m/>
    <n v="125"/>
  </r>
  <r>
    <s v="Jul 15, 2022"/>
    <x v="57"/>
    <s v="Derrick Martin"/>
    <s v="SINGLE PLAY"/>
    <m/>
    <m/>
    <n v="125"/>
    <m/>
    <m/>
    <n v="125"/>
  </r>
  <r>
    <s v="Jul 15, 2022"/>
    <x v="58"/>
    <s v="Derrick Martin"/>
    <s v="DOUBLE PLAY MDU"/>
    <m/>
    <m/>
    <n v="105"/>
    <m/>
    <m/>
    <n v="105"/>
  </r>
  <r>
    <s v="Jul 15, 2022"/>
    <x v="59"/>
    <s v="Marcus Martin"/>
    <s v="SINGLE PLAY MDU"/>
    <m/>
    <s v="HOOK UP HOME NETWORK"/>
    <n v="85"/>
    <n v="40"/>
    <m/>
    <n v="125"/>
  </r>
  <r>
    <s v="Jul 15, 2022"/>
    <x v="60"/>
    <s v="Marcus Martin"/>
    <s v="SINGLE PLAY"/>
    <m/>
    <s v="HOOK UP HOME NETWORK"/>
    <n v="125"/>
    <n v="40"/>
    <m/>
    <n v="165"/>
  </r>
  <r>
    <s v="Jul 15, 2022"/>
    <x v="61"/>
    <s v="Marcus Martin"/>
    <s v="SINGLE PLAY"/>
    <m/>
    <s v="HOOK UP HOME NETWORK"/>
    <n v="125"/>
    <n v="40"/>
    <m/>
    <n v="165"/>
  </r>
  <r>
    <s v="Jul 15, 2022"/>
    <x v="62"/>
    <s v="Derrick Martin"/>
    <s v="SINGLE PLAY"/>
    <m/>
    <m/>
    <n v="125"/>
    <m/>
    <m/>
    <n v="125"/>
  </r>
  <r>
    <s v="Jul 15, 2022"/>
    <x v="63"/>
    <s v="Marcus Martin"/>
    <s v="SINGLE PLAY MDU"/>
    <m/>
    <m/>
    <n v="85"/>
    <m/>
    <m/>
    <n v="85"/>
  </r>
  <r>
    <s v="Jul 15, 2022"/>
    <x v="64"/>
    <s v="Marcus Martin"/>
    <s v="SINGLE PLAY MDU"/>
    <m/>
    <m/>
    <n v="85"/>
    <m/>
    <m/>
    <n v="85"/>
  </r>
  <r>
    <s v="Jul 15, 2022"/>
    <x v="65"/>
    <s v="Marcus Martin"/>
    <s v="SINGLE PLAY MDU"/>
    <m/>
    <m/>
    <n v="85"/>
    <m/>
    <m/>
    <n v="85"/>
  </r>
  <r>
    <s v="Jul 15, 2022"/>
    <x v="66"/>
    <s v="Marcus Martin"/>
    <s v="SINGLE PLAY MDU"/>
    <m/>
    <m/>
    <n v="85"/>
    <m/>
    <m/>
    <n v="85"/>
  </r>
  <r>
    <s v="Jul 15, 2022"/>
    <x v="67"/>
    <s v="Marcus Martin"/>
    <s v="DOUBLE PLAY MDU"/>
    <m/>
    <s v="HOOK UP HOME NETWORK"/>
    <n v="105"/>
    <n v="40"/>
    <m/>
    <n v="145"/>
  </r>
  <r>
    <s v="Jul 15, 2022"/>
    <x v="68"/>
    <s v="Marcus Martin"/>
    <s v="SINGLE PLAY MDU"/>
    <m/>
    <m/>
    <n v="85"/>
    <m/>
    <m/>
    <n v="85"/>
  </r>
  <r>
    <s v="Jul 15, 2022"/>
    <x v="69"/>
    <s v="Marcus Martin"/>
    <s v="SINGLE PLAY MDU"/>
    <m/>
    <m/>
    <n v="85"/>
    <m/>
    <m/>
    <n v="85"/>
  </r>
  <r>
    <s v="Jul 15, 2022"/>
    <x v="70"/>
    <s v="Derrick Martin"/>
    <s v="SINGLE PLAY"/>
    <m/>
    <s v="HOOK UP HOME NETWORK"/>
    <n v="125"/>
    <n v="40"/>
    <m/>
    <n v="165"/>
  </r>
  <r>
    <s v="Jul 15, 2022"/>
    <x v="71"/>
    <s v="Derrick Martin"/>
    <s v="Double Play"/>
    <m/>
    <s v="HOOK UP HOME NETWORK"/>
    <n v="155"/>
    <n v="40"/>
    <m/>
    <n v="195"/>
  </r>
  <r>
    <s v="Jul 15, 2022"/>
    <x v="72"/>
    <s v="Derrick Martin"/>
    <s v="SINGLE PLAY"/>
    <m/>
    <s v="HOOK UP HOME NETWORK"/>
    <n v="125"/>
    <n v="40"/>
    <m/>
    <n v="165"/>
  </r>
  <r>
    <s v="Jul 16, 2022"/>
    <x v="73"/>
    <s v="Marcus Martin"/>
    <s v="SINGLE PLAY"/>
    <s v="NEW OUTLET INCLUDING BATTERY OUTLET/CAT 5"/>
    <s v="HOOK UP HOME NETWORK"/>
    <n v="125"/>
    <n v="45"/>
    <n v="40"/>
    <n v="210"/>
  </r>
  <r>
    <s v="Jul 16, 2022"/>
    <x v="74"/>
    <s v="Marcus Martin"/>
    <s v="SINGLE PLAY MDU"/>
    <m/>
    <m/>
    <n v="85"/>
    <m/>
    <m/>
    <n v="85"/>
  </r>
  <r>
    <s v="Jul 16, 2022"/>
    <x v="75"/>
    <s v="Marcus Martin"/>
    <s v="TRIP CHARGE"/>
    <m/>
    <m/>
    <n v="40"/>
    <m/>
    <m/>
    <n v="40"/>
  </r>
  <r>
    <s v="Jul 16, 2022"/>
    <x v="76"/>
    <s v="Marcus Martin"/>
    <s v="SINGLE PLAY"/>
    <m/>
    <s v="HOOK UP HOME NETWORK"/>
    <n v="125"/>
    <m/>
    <n v="40"/>
    <n v="165"/>
  </r>
  <r>
    <s v="Jul 16, 2022"/>
    <x v="77"/>
    <s v="Marcus Martin"/>
    <s v="SINGLE PLAY"/>
    <m/>
    <s v="HOOK UP HOME NETWORK"/>
    <n v="125"/>
    <m/>
    <n v="40"/>
    <n v="165"/>
  </r>
  <r>
    <s v="Jul 16, 2022"/>
    <x v="78"/>
    <s v="Derrick Martin"/>
    <s v="SINGLE PLAY"/>
    <m/>
    <s v="HOOK UP HOME NETWORK"/>
    <n v="125"/>
    <m/>
    <n v="40"/>
    <n v="165"/>
  </r>
  <r>
    <s v="Jul 16, 2022"/>
    <x v="79"/>
    <s v="Derrick Martin"/>
    <s v="SINGLE PLAY"/>
    <m/>
    <m/>
    <n v="125"/>
    <m/>
    <m/>
    <n v="125"/>
  </r>
  <r>
    <s v="Jul 16, 2022"/>
    <x v="80"/>
    <s v="Derrick Martin"/>
    <s v="TRIP CHARGE"/>
    <m/>
    <m/>
    <n v="40"/>
    <m/>
    <m/>
    <n v="40"/>
  </r>
  <r>
    <s v="Jul 16, 2022"/>
    <x v="81"/>
    <s v="Derrick Martin"/>
    <s v="SINGLE PLAY"/>
    <m/>
    <s v="HOOK UP HOME NETWORK"/>
    <n v="125"/>
    <m/>
    <n v="40"/>
    <n v="16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Aug 15, 2022"/>
    <x v="0"/>
    <s v="Marcus Martin"/>
    <s v="SINGLE PLAY"/>
    <s v="CONNECTED HOME NETWORK"/>
    <m/>
    <n v="125"/>
    <n v="40"/>
    <m/>
    <n v="165"/>
  </r>
  <r>
    <s v="Aug 15, 2022"/>
    <x v="1"/>
    <s v="Marcus Martin"/>
    <s v="TRIP CHARGE"/>
    <m/>
    <m/>
    <n v="40"/>
    <m/>
    <m/>
    <n v="40"/>
  </r>
  <r>
    <s v="Aug 15, 2022"/>
    <x v="2"/>
    <s v="Marcus Martin"/>
    <s v="SINGLE PLAY"/>
    <s v="CONNECTED HOME NETWORK"/>
    <s v="NEW OUTLET INCLUDING BATTERY OUTLET/CAT 5"/>
    <n v="125"/>
    <n v="40"/>
    <n v="45"/>
    <n v="210"/>
  </r>
  <r>
    <s v="Aug 15, 2022"/>
    <x v="3"/>
    <s v="Marcus Martin"/>
    <s v="SINGLE PLAY"/>
    <s v="CONNECTED HOME NETWORK"/>
    <s v="NEW OUTLET INCLUDING BATTERY OUTLET/CAT 5"/>
    <n v="125"/>
    <n v="40"/>
    <n v="90"/>
    <n v="255"/>
  </r>
  <r>
    <s v="Aug 15, 2022"/>
    <x v="4"/>
    <s v="Chris Ambler"/>
    <s v="DOUBLE PLAY MDU"/>
    <s v="CONNECTED HOME NETWORK"/>
    <m/>
    <n v="105"/>
    <n v="40"/>
    <m/>
    <n v="145"/>
  </r>
  <r>
    <s v="Aug 15, 2022"/>
    <x v="5"/>
    <s v="Chris Ambler"/>
    <s v="SINGLE PLAY MDU"/>
    <m/>
    <m/>
    <n v="85"/>
    <m/>
    <m/>
    <n v="85"/>
  </r>
  <r>
    <s v="Aug 15, 2022"/>
    <x v="6"/>
    <s v="Chris Ambler"/>
    <s v="SINGLE PLAY MDU"/>
    <m/>
    <m/>
    <n v="85"/>
    <m/>
    <m/>
    <n v="85"/>
  </r>
  <r>
    <s v="Aug 15, 2022"/>
    <x v="7"/>
    <s v="kevin Jackson"/>
    <s v="SINGLE PLAY"/>
    <s v="CONNECTED HOME NETWORK"/>
    <s v="NEW OUTLET INCLUDING BATTERY OUTLET/CAT 5"/>
    <n v="125"/>
    <n v="40"/>
    <n v="45"/>
    <n v="210"/>
  </r>
  <r>
    <s v="Aug 15, 2022"/>
    <x v="8"/>
    <s v="Remington Taylor"/>
    <s v="SINGLE PLAY"/>
    <s v="CONNECTED HOME NETWORK"/>
    <s v="DROP"/>
    <n v="125"/>
    <n v="45"/>
    <n v="30"/>
    <n v="200"/>
  </r>
  <r>
    <s v="Aug 15, 2022"/>
    <x v="9"/>
    <s v="Chris Ambler"/>
    <s v="DOUBLE PLAY "/>
    <s v="NEW OUTLET INCLUDING BATTERY OUTLET/CAT 5"/>
    <m/>
    <n v="155"/>
    <n v="90"/>
    <m/>
    <n v="245"/>
  </r>
  <r>
    <s v="Aug 15, 2022"/>
    <x v="10"/>
    <s v="Remington Taylor"/>
    <s v="TRIP CHARGE"/>
    <m/>
    <m/>
    <n v="40"/>
    <m/>
    <m/>
    <n v="40"/>
  </r>
  <r>
    <s v="Aug 15, 2022"/>
    <x v="11"/>
    <s v="kevin Jackson"/>
    <s v="DOUBLE PLAY"/>
    <m/>
    <m/>
    <n v="155"/>
    <m/>
    <m/>
    <n v="155"/>
  </r>
  <r>
    <s v="Aug 15, 2022"/>
    <x v="12"/>
    <s v="Remington Taylor"/>
    <s v="TRIP CHARGE"/>
    <m/>
    <m/>
    <n v="40"/>
    <m/>
    <m/>
    <n v="40"/>
  </r>
  <r>
    <s v="Aug 15, 2022"/>
    <x v="13"/>
    <s v="kevin Jackson"/>
    <s v="SINGLE PLAY"/>
    <m/>
    <m/>
    <n v="125"/>
    <m/>
    <m/>
    <n v="125"/>
  </r>
  <r>
    <s v="Aug 15, 2022"/>
    <x v="14"/>
    <s v="Remington Taylor"/>
    <s v="TRIP CHARGE"/>
    <m/>
    <m/>
    <n v="40"/>
    <m/>
    <m/>
    <n v="40"/>
  </r>
  <r>
    <s v="Aug 15, 2022"/>
    <x v="15"/>
    <s v="Chris Ambler"/>
    <s v="DOUBLE PLAY"/>
    <s v="CONNECTED HOME NETWORK"/>
    <m/>
    <n v="155"/>
    <n v="40"/>
    <m/>
    <n v="195"/>
  </r>
  <r>
    <s v="Aug 15, 2022"/>
    <x v="16"/>
    <s v="kevin Jackson"/>
    <s v="SINGLE PLAY"/>
    <m/>
    <m/>
    <n v="125"/>
    <m/>
    <m/>
    <n v="125"/>
  </r>
  <r>
    <s v="Aug 15, 2022"/>
    <x v="17"/>
    <s v="kevin Jackson"/>
    <s v="DOUBLE PLAY"/>
    <m/>
    <m/>
    <n v="155"/>
    <m/>
    <m/>
    <n v="155"/>
  </r>
  <r>
    <s v="Aug 15, 2022"/>
    <x v="18"/>
    <s v="Chris Ambler"/>
    <s v="SINGLE PLAY MDU"/>
    <s v="CONNECTED HOME NETWORK"/>
    <m/>
    <n v="85"/>
    <n v="40"/>
    <m/>
    <n v="125"/>
  </r>
  <r>
    <s v="Aug 15, 2022"/>
    <x v="19"/>
    <s v="Remington Taylor"/>
    <s v="SINGLE PLAY"/>
    <s v="CONNECTED HOME NETWORK"/>
    <m/>
    <n v="125"/>
    <n v="40"/>
    <m/>
    <n v="165"/>
  </r>
  <r>
    <s v="Aug 15, 2022"/>
    <x v="20"/>
    <s v="kevin Jackson"/>
    <s v="SINGLE PLAY MDU"/>
    <m/>
    <m/>
    <n v="85"/>
    <m/>
    <m/>
    <n v="85"/>
  </r>
  <r>
    <s v="Aug 15, 2022"/>
    <x v="21"/>
    <s v="Chris Ambler"/>
    <s v="SINGLE PLAY"/>
    <s v="CONNECTED HOME NETWORK"/>
    <m/>
    <n v="125"/>
    <n v="40"/>
    <m/>
    <n v="165"/>
  </r>
  <r>
    <s v="Aug 15, 2022"/>
    <x v="22"/>
    <s v="Remington Taylor"/>
    <s v="SINGLE PLAY"/>
    <s v="CONNECTED HOME NETWORK"/>
    <m/>
    <n v="125"/>
    <n v="40"/>
    <m/>
    <n v="165"/>
  </r>
  <r>
    <s v="Aug 15, 2022"/>
    <x v="23"/>
    <s v="Chris Ambler"/>
    <s v="SINGLE PLAY"/>
    <s v="CONNECTED HOME NETWORK"/>
    <m/>
    <n v="125"/>
    <n v="40"/>
    <m/>
    <n v="165"/>
  </r>
  <r>
    <s v="Aug 15, 2022"/>
    <x v="24"/>
    <s v="Remington Taylor"/>
    <s v="SINGLE PLAY"/>
    <s v="CONNECTED HOME NETWORK"/>
    <m/>
    <n v="125"/>
    <n v="40"/>
    <m/>
    <n v="165"/>
  </r>
  <r>
    <s v="Aug 15, 2022"/>
    <x v="25"/>
    <s v="Remington Taylor"/>
    <s v="SINGLE PLAY"/>
    <m/>
    <m/>
    <n v="125"/>
    <m/>
    <m/>
    <n v="125"/>
  </r>
  <r>
    <s v="Aug 15, 2022"/>
    <x v="26"/>
    <s v="Derrick Martin"/>
    <s v="SINGLE PLAY"/>
    <s v="CONNECTED HOME NETWORK"/>
    <m/>
    <n v="125"/>
    <n v="40"/>
    <m/>
    <n v="165"/>
  </r>
  <r>
    <s v="Aug 15, 2022"/>
    <x v="27"/>
    <s v="Derrick Martin"/>
    <s v="SINGLE PLAY"/>
    <s v="CONNECTED HOME NETWORK"/>
    <m/>
    <n v="125"/>
    <n v="40"/>
    <m/>
    <n v="165"/>
  </r>
  <r>
    <s v="Aug 15, 2022"/>
    <x v="28"/>
    <s v="Derrick Martin"/>
    <s v="TRIP CHARGE"/>
    <m/>
    <m/>
    <n v="40"/>
    <m/>
    <m/>
    <n v="40"/>
  </r>
  <r>
    <s v="Aug 16, 2022"/>
    <x v="29"/>
    <s v="Remington Taylor"/>
    <s v="SINGLE PLAY MDU"/>
    <m/>
    <m/>
    <n v="85"/>
    <m/>
    <m/>
    <n v="85"/>
  </r>
  <r>
    <s v="Aug 16, 2022"/>
    <x v="30"/>
    <s v="kevin Jackson"/>
    <s v="TRIPLE PLAY MDU"/>
    <s v="CONNECTED HOME NETWORK"/>
    <m/>
    <n v="125"/>
    <n v="40"/>
    <m/>
    <n v="165"/>
  </r>
  <r>
    <s v="Aug 16, 2022"/>
    <x v="31"/>
    <s v="Remington Taylor"/>
    <s v="SINGLE PLAY"/>
    <s v="CONNECTED HOME NETWORK"/>
    <s v="NEW OUTLET INCLUDING BATTERY OUTLET/CAT 5"/>
    <n v="125"/>
    <n v="40"/>
    <n v="90"/>
    <n v="255"/>
  </r>
  <r>
    <s v="Aug 16, 2022"/>
    <x v="32"/>
    <s v="kevin Jackson"/>
    <s v="SINGLE PLAY"/>
    <s v="CONNECTED HOME NETWORK"/>
    <m/>
    <n v="125"/>
    <n v="40"/>
    <m/>
    <n v="165"/>
  </r>
  <r>
    <s v="Aug 16, 2022"/>
    <x v="33"/>
    <s v="Chris Ambler"/>
    <s v="SINGLE PLAY MDU"/>
    <m/>
    <m/>
    <n v="85"/>
    <m/>
    <m/>
    <n v="85"/>
  </r>
  <r>
    <s v="Aug 16, 2022"/>
    <x v="34"/>
    <s v="Chris Ambler"/>
    <s v="DOUBLE PLAY MDU"/>
    <s v="CONNECTED HOME NETWORK"/>
    <m/>
    <n v="105"/>
    <n v="40"/>
    <m/>
    <n v="145"/>
  </r>
  <r>
    <s v="Aug 16, 2022"/>
    <x v="35"/>
    <s v="Remington Taylor"/>
    <s v="SINGLE PLAY"/>
    <s v="CONNECTED HOME NETWORK"/>
    <m/>
    <n v="125"/>
    <n v="40"/>
    <m/>
    <n v="165"/>
  </r>
  <r>
    <s v="Aug 16, 2022"/>
    <x v="36"/>
    <s v="Remington Taylor"/>
    <s v="SINGLE PLAY"/>
    <s v="CONNECTED HOME NETWORK"/>
    <s v="NEW OUTLET INCLUDING BATTERY OUTLET/CAT 5"/>
    <n v="125"/>
    <n v="40"/>
    <n v="90"/>
    <n v="255"/>
  </r>
  <r>
    <s v="Aug 16, 2022"/>
    <x v="37"/>
    <s v="Chris Ambler"/>
    <s v="SINGLE PLAY MDU"/>
    <m/>
    <m/>
    <n v="85"/>
    <m/>
    <m/>
    <n v="85"/>
  </r>
  <r>
    <s v="Aug 16, 2022"/>
    <x v="38"/>
    <s v="Chris Ambler"/>
    <s v="SINGLE PLAY MDU"/>
    <m/>
    <m/>
    <n v="85"/>
    <m/>
    <m/>
    <n v="85"/>
  </r>
  <r>
    <s v="Aug 16, 2022"/>
    <x v="39"/>
    <s v="Remington Taylor"/>
    <s v="TRIP CHARGE"/>
    <m/>
    <m/>
    <n v="40"/>
    <m/>
    <m/>
    <n v="40"/>
  </r>
  <r>
    <s v="Aug 16, 2022"/>
    <x v="40"/>
    <s v="Chris Ambler"/>
    <s v="SINGLE PLAY"/>
    <s v="CONNECTED HOME NETWORK"/>
    <m/>
    <n v="125"/>
    <n v="40"/>
    <m/>
    <n v="165"/>
  </r>
  <r>
    <s v="Aug 16, 2022"/>
    <x v="41"/>
    <s v="kevin Jackson"/>
    <s v="SINGLE PLAY"/>
    <s v="CONNECTED HOME NETWORK"/>
    <m/>
    <n v="125"/>
    <n v="40"/>
    <m/>
    <n v="165"/>
  </r>
  <r>
    <s v="Aug 16, 2022"/>
    <x v="42"/>
    <s v="kevin Jackson"/>
    <s v="TRIP CHARGE"/>
    <m/>
    <m/>
    <n v="40"/>
    <m/>
    <m/>
    <n v="40"/>
  </r>
  <r>
    <s v="Aug 16, 2022"/>
    <x v="43"/>
    <s v="kevin Jackson"/>
    <s v="SINGLE PLAY"/>
    <s v="CONNECTED HOME NETWORK"/>
    <s v="DROP"/>
    <n v="125"/>
    <n v="40"/>
    <n v="30"/>
    <n v="195"/>
  </r>
  <r>
    <s v="Aug 16, 2022"/>
    <x v="44"/>
    <s v="Chris Ambler"/>
    <s v="SINGLE PLAY"/>
    <s v="CONNECTED HOME NETWORK"/>
    <m/>
    <n v="125"/>
    <n v="40"/>
    <m/>
    <n v="165"/>
  </r>
  <r>
    <s v="Aug 16, 2022"/>
    <x v="45"/>
    <s v="Remington Taylor"/>
    <s v="SINGLE PLAY MDU"/>
    <s v="CONNECTED HOME NETWORK"/>
    <m/>
    <n v="85"/>
    <n v="40"/>
    <m/>
    <n v="125"/>
  </r>
  <r>
    <s v="Aug 16, 2022"/>
    <x v="46"/>
    <s v="Chris Ambler"/>
    <s v="TRIP CHARGE"/>
    <m/>
    <m/>
    <n v="40"/>
    <m/>
    <m/>
    <n v="40"/>
  </r>
  <r>
    <s v="Aug 16, 2022"/>
    <x v="47"/>
    <s v="Marcus Martin"/>
    <s v="SINGLE PLAY MDU"/>
    <s v="CONNECTED HOME NETWORK"/>
    <m/>
    <n v="85"/>
    <n v="40"/>
    <m/>
    <n v="125"/>
  </r>
  <r>
    <s v="Aug 16, 2022"/>
    <x v="48"/>
    <s v="Marcus Martin"/>
    <s v="TRIP CHARGE"/>
    <m/>
    <m/>
    <n v="40"/>
    <m/>
    <m/>
    <n v="40"/>
  </r>
  <r>
    <s v="Aug 16, 2022"/>
    <x v="49"/>
    <s v="Marcus Martin"/>
    <s v="SINGLE PLAY"/>
    <s v="NEW OUTLET INCLUDING BATTERY OUTLET/CAT 5"/>
    <s v="CONNECTED HOME NETWORK"/>
    <n v="125"/>
    <n v="90"/>
    <n v="40"/>
    <n v="255"/>
  </r>
  <r>
    <s v="Aug 16, 2022"/>
    <x v="50"/>
    <s v="Marcus Martin"/>
    <s v="SINGLE PLAY"/>
    <s v="NEW OUTLET INCLUDING BATTERY OUTLET/CAT 5"/>
    <s v="CONNECTED HOME NETWORK"/>
    <n v="125"/>
    <n v="45"/>
    <n v="90"/>
    <n v="260"/>
  </r>
  <r>
    <s v="Aug 16, 2022"/>
    <x v="51"/>
    <s v="Marcus Martin"/>
    <s v="SINGLE PLAY MDU"/>
    <s v="CONNECTED HOME NETWORK"/>
    <m/>
    <n v="85"/>
    <n v="40"/>
    <m/>
    <n v="125"/>
  </r>
  <r>
    <s v="Aug 16, 2022"/>
    <x v="52"/>
    <s v="Derrick Martin"/>
    <s v="SINGLE PLAY MDU"/>
    <s v="CONNECTED HOME NETWORK"/>
    <m/>
    <n v="85"/>
    <n v="40"/>
    <m/>
    <n v="125"/>
  </r>
  <r>
    <s v="Aug 16, 2022"/>
    <x v="53"/>
    <s v="Derrick Martin"/>
    <s v="TRIP CHARGE"/>
    <m/>
    <m/>
    <n v="40"/>
    <m/>
    <m/>
    <n v="40"/>
  </r>
  <r>
    <s v="Aug 17, 2022"/>
    <x v="54"/>
    <s v="Marcus Martin"/>
    <s v="TRIP CHARGE"/>
    <m/>
    <m/>
    <n v="40"/>
    <m/>
    <m/>
    <n v="40"/>
  </r>
  <r>
    <s v="Aug 17, 2022"/>
    <x v="55"/>
    <s v="Marcus Martin"/>
    <s v="SINGLE PLAY"/>
    <m/>
    <m/>
    <n v="125"/>
    <m/>
    <m/>
    <n v="125"/>
  </r>
  <r>
    <s v="Aug 17, 2022"/>
    <x v="56"/>
    <s v="Marcus Martin"/>
    <s v="DOUBLE PLAY"/>
    <s v="CONNECTED HOME NETWORK"/>
    <m/>
    <n v="155"/>
    <n v="40"/>
    <m/>
    <n v="195"/>
  </r>
  <r>
    <s v="Aug 17, 2022"/>
    <x v="57"/>
    <s v="Chris Ambler"/>
    <s v="SINGLE PLAY MDU"/>
    <s v="CONNECTED HOME NETWORK"/>
    <m/>
    <n v="85"/>
    <n v="40"/>
    <m/>
    <n v="125"/>
  </r>
  <r>
    <s v="Aug 17, 2022"/>
    <x v="58"/>
    <s v="Chris Ambler"/>
    <s v="SINGLE PLAY"/>
    <s v="CONNECTED HOME NETWORK"/>
    <m/>
    <n v="125"/>
    <n v="40"/>
    <m/>
    <n v="165"/>
  </r>
  <r>
    <s v="Aug 17, 2022"/>
    <x v="59"/>
    <s v="Chris Ambler"/>
    <s v="SINGLE PLAY"/>
    <s v="CONNECTED HOME NETWORK"/>
    <s v="NEW OUTLET INCLUDING BATTERY OUTLET/CAT 5"/>
    <n v="125"/>
    <n v="40"/>
    <n v="45"/>
    <n v="210"/>
  </r>
  <r>
    <s v="Aug 17, 2022"/>
    <x v="60"/>
    <s v="kevin Jackson"/>
    <s v="SINGLE PLAY"/>
    <s v="CONNECTED HOME NETWORK"/>
    <s v="NEW OUTLET INCLUDING BATTERY OUTLET/CAT 5/Replace Drop"/>
    <n v="125"/>
    <n v="40"/>
    <n v="75"/>
    <n v="240"/>
  </r>
  <r>
    <s v="Aug 17, 2022"/>
    <x v="61"/>
    <s v="Remington Taylor"/>
    <s v="SINGLE PLAY"/>
    <s v="CONNECTED HOME NETWORK"/>
    <s v="NEW OUTLET INCLUDING BATTERY OUTLET/CAT 5"/>
    <n v="125"/>
    <n v="40"/>
    <n v="45"/>
    <n v="210"/>
  </r>
  <r>
    <s v="Aug 17, 2022"/>
    <x v="62"/>
    <s v="kevin Jackson"/>
    <s v="SINGLE PLAY"/>
    <s v="CONNECTED HOME NETWORK"/>
    <m/>
    <n v="125"/>
    <n v="40"/>
    <m/>
    <n v="165"/>
  </r>
  <r>
    <s v="Aug 17, 2022"/>
    <x v="63"/>
    <s v="Chris Ambler"/>
    <s v="SINGLE PLAY"/>
    <s v="CONNECTED HOME NETWORK"/>
    <m/>
    <n v="125"/>
    <n v="40"/>
    <m/>
    <n v="165"/>
  </r>
  <r>
    <s v="Aug 17, 2022"/>
    <x v="64"/>
    <s v="Remington Taylor"/>
    <s v="SINGLE PLAY MDU"/>
    <s v="CONNECTED HOME NETWORK"/>
    <m/>
    <n v="85"/>
    <n v="40"/>
    <m/>
    <n v="125"/>
  </r>
  <r>
    <s v="Aug 17, 2022"/>
    <x v="65"/>
    <s v="Chris Ambler"/>
    <s v="DOUBLE PLAY MDU"/>
    <s v="CONNECTED HOME NETWORK"/>
    <m/>
    <n v="105"/>
    <n v="40"/>
    <m/>
    <n v="145"/>
  </r>
  <r>
    <s v="Aug 17, 2022"/>
    <x v="66"/>
    <s v="kevin Jackson"/>
    <s v="TRIP CHARGE"/>
    <m/>
    <m/>
    <n v="40"/>
    <m/>
    <m/>
    <n v="40"/>
  </r>
  <r>
    <s v="Aug 17, 2022"/>
    <x v="67"/>
    <s v="Derrick Martin"/>
    <s v="TRIP CHARGE"/>
    <m/>
    <m/>
    <n v="40"/>
    <m/>
    <m/>
    <n v="40"/>
  </r>
  <r>
    <s v="Aug 18, 2022"/>
    <x v="68"/>
    <s v="Derick Martin"/>
    <s v="SINGLE PLAY"/>
    <s v="CONNECTED HOME NETWORK"/>
    <m/>
    <n v="125"/>
    <n v="40"/>
    <m/>
    <n v="165"/>
  </r>
  <r>
    <s v="Aug 18, 2022"/>
    <x v="69"/>
    <s v="Derick Martin"/>
    <s v="SINGLE PLAY"/>
    <m/>
    <m/>
    <n v="125"/>
    <m/>
    <m/>
    <n v="125"/>
  </r>
  <r>
    <s v="Aug 18, 2022"/>
    <x v="70"/>
    <s v="Marcus Martin"/>
    <s v="TRIP CHARGE"/>
    <m/>
    <m/>
    <n v="40"/>
    <m/>
    <m/>
    <n v="40"/>
  </r>
  <r>
    <s v="Aug 18, 2022"/>
    <x v="71"/>
    <s v="Marcus Martin"/>
    <s v="TRIP CHARGE"/>
    <m/>
    <m/>
    <n v="40"/>
    <m/>
    <m/>
    <n v="40"/>
  </r>
  <r>
    <s v="Aug 18, 2022"/>
    <x v="72"/>
    <s v="Marcus Martin"/>
    <s v="TRIP CHARGE"/>
    <m/>
    <m/>
    <n v="40"/>
    <m/>
    <m/>
    <n v="40"/>
  </r>
  <r>
    <s v="Aug 18, 2022"/>
    <x v="73"/>
    <s v="Marcus Martin"/>
    <s v="SINGLE PLAY"/>
    <s v="CONNECTED HOME NETWORK"/>
    <m/>
    <n v="125"/>
    <n v="40"/>
    <m/>
    <n v="165"/>
  </r>
  <r>
    <s v="Aug 18, 2022"/>
    <x v="74"/>
    <s v="kevin Jackson"/>
    <s v="SINGLE PLAY"/>
    <s v="CONNECTED HOME NETWORK"/>
    <m/>
    <n v="125"/>
    <n v="40"/>
    <m/>
    <n v="165"/>
  </r>
  <r>
    <s v="Aug 18, 2022"/>
    <x v="75"/>
    <s v="Chris Ambler"/>
    <s v="SINGLE PLAY MDU"/>
    <s v="CONNECTED HOME NETWORK"/>
    <m/>
    <n v="85"/>
    <n v="40"/>
    <m/>
    <n v="125"/>
  </r>
  <r>
    <s v="Aug 18, 2022"/>
    <x v="76"/>
    <s v="kevin Jackson"/>
    <s v="SINGLE PLAY"/>
    <s v="CONNECTED HOME NETWORK"/>
    <m/>
    <n v="125"/>
    <n v="40"/>
    <m/>
    <n v="165"/>
  </r>
  <r>
    <s v="Aug 18, 2022"/>
    <x v="77"/>
    <s v="Remington Taylor"/>
    <s v="TRIPLE PLAY"/>
    <s v="CONNECTED HOME NETWORK"/>
    <m/>
    <n v="185"/>
    <n v="40"/>
    <m/>
    <n v="225"/>
  </r>
  <r>
    <s v="Aug 18, 2022"/>
    <x v="78"/>
    <s v="Chris Ambler"/>
    <s v="SINGLE PLAY"/>
    <s v="CONNECTED HOME NETWORK"/>
    <m/>
    <n v="125"/>
    <n v="40"/>
    <m/>
    <n v="165"/>
  </r>
  <r>
    <s v="Aug 18, 2022"/>
    <x v="79"/>
    <s v="kevin Jackson"/>
    <s v="DOUBLE PLAY MDU"/>
    <s v="CONNECTED HOME NETWORK"/>
    <m/>
    <n v="105"/>
    <n v="40"/>
    <m/>
    <n v="145"/>
  </r>
  <r>
    <s v="Aug 18, 2022"/>
    <x v="80"/>
    <s v="kevin Jackson"/>
    <s v="SINGLE PLAY"/>
    <s v="NEW OUTLET INCLUDING BATTERY OUTLET/CAT 5"/>
    <s v="CONNECTED HOME NETWORK"/>
    <n v="125"/>
    <n v="90"/>
    <n v="40"/>
    <n v="255"/>
  </r>
  <r>
    <s v="Aug 18, 2022"/>
    <x v="81"/>
    <s v="Remington Taylor"/>
    <s v="DOUBLE PLAY MDU"/>
    <s v="CONNECTED HOME NETWORK"/>
    <m/>
    <n v="105"/>
    <n v="40"/>
    <m/>
    <n v="145"/>
  </r>
  <r>
    <s v="Aug 18, 2022"/>
    <x v="82"/>
    <s v="Chris Ambler"/>
    <s v="SINGLE PLAY"/>
    <s v="CONNECTED HOME NETWORK"/>
    <m/>
    <n v="125"/>
    <n v="40"/>
    <m/>
    <n v="165"/>
  </r>
  <r>
    <s v="Aug 18, 2022"/>
    <x v="83"/>
    <s v="kevin Jackson"/>
    <s v="SINGLE PLAY"/>
    <s v="NEW OUTLET INCLUDING BATTERY OUTLET/CAT 5"/>
    <s v="CONNECTED HOME NETWORK"/>
    <n v="125"/>
    <n v="45"/>
    <n v="40"/>
    <n v="210"/>
  </r>
  <r>
    <s v="Aug 18, 2022"/>
    <x v="84"/>
    <s v="Chris Ambler"/>
    <s v="SINGLE PLAY"/>
    <s v="CONNECTED HOME NETWORK"/>
    <s v="DROP"/>
    <n v="125"/>
    <n v="40"/>
    <n v="30"/>
    <n v="195"/>
  </r>
  <r>
    <s v="Aug 18, 2022"/>
    <x v="85"/>
    <s v="Remington Taylor"/>
    <s v="TRIP CHARGE"/>
    <m/>
    <m/>
    <n v="40"/>
    <m/>
    <m/>
    <n v="40"/>
  </r>
  <r>
    <s v="Aug 18, 2022"/>
    <x v="86"/>
    <s v="Remington Taylor"/>
    <s v="SINGLE PLAY"/>
    <s v="EMTA CONVERSION INCLUDING SCHEDULING"/>
    <s v="CONNECTED HOME NETWORK"/>
    <n v="125"/>
    <n v="85"/>
    <n v="40"/>
    <n v="250"/>
  </r>
  <r>
    <s v="Aug 18, 2022"/>
    <x v="87"/>
    <s v="Chris Ambler"/>
    <s v="SINGLE PLAY MDU"/>
    <s v="CONNECTED HOME NETWORK"/>
    <m/>
    <n v="85"/>
    <n v="40"/>
    <m/>
    <n v="125"/>
  </r>
  <r>
    <s v="Aug 18, 2022"/>
    <x v="88"/>
    <s v="Chris Ambler"/>
    <s v="SINGLE PLAY MDU"/>
    <m/>
    <m/>
    <n v="85"/>
    <m/>
    <m/>
    <n v="85"/>
  </r>
  <r>
    <s v="Aug 18, 2022"/>
    <x v="89"/>
    <s v="Chris Ambler"/>
    <s v="TRIP CHARGE"/>
    <m/>
    <m/>
    <n v="40"/>
    <m/>
    <m/>
    <n v="40"/>
  </r>
  <r>
    <s v="Aug 18, 2022"/>
    <x v="90"/>
    <s v="Chris Ambler"/>
    <s v="SINGLE PLAY MDU"/>
    <m/>
    <m/>
    <n v="85"/>
    <m/>
    <m/>
    <n v="85"/>
  </r>
  <r>
    <s v="Aug 18, 2022"/>
    <x v="91"/>
    <s v="Remington Taylor"/>
    <s v="TRIP CHARGE"/>
    <m/>
    <m/>
    <n v="40"/>
    <m/>
    <m/>
    <n v="40"/>
  </r>
  <r>
    <s v="Aug 19, 2022"/>
    <x v="54"/>
    <s v="Remington Taylor"/>
    <s v="SINGLE PLAY"/>
    <s v="CONNECTED HOME NETWORK"/>
    <m/>
    <n v="125"/>
    <n v="40"/>
    <m/>
    <n v="165"/>
  </r>
  <r>
    <s v="Aug 19, 2022"/>
    <x v="92"/>
    <s v="Remington Taylor"/>
    <s v="SINGLE PLAY MDU"/>
    <m/>
    <m/>
    <n v="85"/>
    <m/>
    <m/>
    <n v="85"/>
  </r>
  <r>
    <s v="Aug 19, 2022"/>
    <x v="93"/>
    <s v="kevin Jackson"/>
    <s v="SINGLE PLAY"/>
    <s v="CONNECTED HOME NETWORK"/>
    <m/>
    <n v="125"/>
    <n v="40"/>
    <m/>
    <n v="165"/>
  </r>
  <r>
    <s v="Aug 19, 2022"/>
    <x v="94"/>
    <s v="Remington Taylor"/>
    <s v="SINGLE PLAY"/>
    <s v="CONNECTED HOME NETWORK"/>
    <s v="DROP"/>
    <n v="125"/>
    <n v="40"/>
    <n v="30"/>
    <n v="195"/>
  </r>
  <r>
    <s v="Aug 19, 2022"/>
    <x v="95"/>
    <s v="Chris Ambler"/>
    <s v="SINGLE PLAY MDU"/>
    <m/>
    <m/>
    <n v="85"/>
    <m/>
    <m/>
    <n v="85"/>
  </r>
  <r>
    <s v="Aug 19, 2022"/>
    <x v="96"/>
    <s v="Chris Ambler"/>
    <s v="TRIPLE PLAY MDU"/>
    <s v="CONNECTED HOME NETWORK"/>
    <m/>
    <n v="125"/>
    <n v="40"/>
    <m/>
    <n v="165"/>
  </r>
  <r>
    <s v="Aug 19, 2022"/>
    <x v="97"/>
    <s v="Remington Taylor"/>
    <s v="SINGLE PLAY"/>
    <m/>
    <m/>
    <n v="125"/>
    <m/>
    <m/>
    <n v="125"/>
  </r>
  <r>
    <s v="Aug 19, 2022"/>
    <x v="98"/>
    <s v="Remington Taylor"/>
    <s v="SINGLE PLAY"/>
    <s v="CONNECTED HOME NETWORK"/>
    <s v="DROP"/>
    <n v="125"/>
    <n v="40"/>
    <n v="30"/>
    <n v="195"/>
  </r>
  <r>
    <s v="Aug 19, 2022"/>
    <x v="99"/>
    <s v="kevin Jackson"/>
    <s v="SINGLE PLAY"/>
    <s v="CONNECTED HOME NETWORK"/>
    <m/>
    <n v="125"/>
    <n v="40"/>
    <m/>
    <n v="165"/>
  </r>
  <r>
    <s v="Aug 19, 2022"/>
    <x v="100"/>
    <s v="Chris Ambler"/>
    <s v="SINGLE PLAY MDU"/>
    <m/>
    <m/>
    <n v="85"/>
    <m/>
    <m/>
    <n v="85"/>
  </r>
  <r>
    <s v="Aug 19, 2022"/>
    <x v="101"/>
    <s v="kevin Jackson"/>
    <s v="SINGLE PLAY MDU"/>
    <m/>
    <m/>
    <n v="85"/>
    <m/>
    <m/>
    <n v="85"/>
  </r>
  <r>
    <s v="Aug 19, 2022"/>
    <x v="102"/>
    <s v="kevin Jackson"/>
    <s v="DOUBLE PLAY"/>
    <s v="CONNECTED HOME NETWORK"/>
    <s v="DROP"/>
    <n v="155"/>
    <n v="40"/>
    <n v="30"/>
    <n v="225"/>
  </r>
  <r>
    <s v="Aug 19, 2022"/>
    <x v="103"/>
    <s v="Chris Ambler"/>
    <s v="SINGLE PLAY"/>
    <s v="NEW OUTLET INCLUDING BATTERY OUTLET/CAT 5"/>
    <s v="CONNECTED HOME NETWORK"/>
    <n v="125"/>
    <n v="90"/>
    <n v="40"/>
    <n v="255"/>
  </r>
  <r>
    <s v="Aug 19, 2022"/>
    <x v="43"/>
    <s v="kevin Jackson"/>
    <s v="SINGLE PLAY"/>
    <s v="CONNECTED HOME NETWORK"/>
    <m/>
    <n v="125"/>
    <n v="40"/>
    <m/>
    <n v="165"/>
  </r>
  <r>
    <s v="Aug 19, 2022"/>
    <x v="104"/>
    <s v="Remington Taylor"/>
    <s v="TRIP CHARGE"/>
    <m/>
    <m/>
    <n v="40"/>
    <m/>
    <m/>
    <n v="40"/>
  </r>
  <r>
    <s v="Aug 19, 2022"/>
    <x v="105"/>
    <s v="Remington Taylor"/>
    <s v="SINGLE PLAY"/>
    <s v="CONNECTED HOME NETWORK"/>
    <m/>
    <n v="125"/>
    <n v="40"/>
    <m/>
    <n v="165"/>
  </r>
  <r>
    <s v="Aug 19, 2022"/>
    <x v="106"/>
    <s v="Chris Ambler"/>
    <s v="SINGLE PLAY"/>
    <s v="CONNECTED HOME NETWORK"/>
    <m/>
    <n v="125"/>
    <n v="40"/>
    <m/>
    <n v="165"/>
  </r>
  <r>
    <s v="Aug 19, 2022"/>
    <x v="107"/>
    <s v="Marcus Martin"/>
    <s v="SINGLE PLAY"/>
    <s v="CONNECTED HOME NETWORK"/>
    <m/>
    <n v="125"/>
    <n v="40"/>
    <m/>
    <n v="165"/>
  </r>
  <r>
    <s v="Aug 19, 2022"/>
    <x v="108"/>
    <s v="Marcus Martin"/>
    <s v="SINGLE PLAY"/>
    <m/>
    <m/>
    <n v="125"/>
    <m/>
    <m/>
    <n v="125"/>
  </r>
  <r>
    <s v="Aug 19, 2022"/>
    <x v="109"/>
    <s v="Marcus Martin"/>
    <s v="SINGLE PLAY"/>
    <s v="EMTA CONVERSION INCLUDING SCHEDULING WITH THE CUSTOMER"/>
    <s v="NEW OUTLET INCLUDING BATTERY OUTLET/CAT 5"/>
    <n v="125"/>
    <n v="85"/>
    <n v="45"/>
    <n v="255"/>
  </r>
  <r>
    <s v="Aug 19, 2022"/>
    <x v="110"/>
    <s v="Derrick Martin"/>
    <s v="TRIP CHARGE"/>
    <m/>
    <m/>
    <n v="40"/>
    <m/>
    <m/>
    <n v="40"/>
  </r>
  <r>
    <s v="Aug 19, 2022"/>
    <x v="111"/>
    <s v="Derrick Martin"/>
    <s v="TRIP CHARGE"/>
    <m/>
    <m/>
    <n v="40"/>
    <m/>
    <m/>
    <n v="40"/>
  </r>
  <r>
    <s v="Aug 19, 2022"/>
    <x v="112"/>
    <s v="kevin Jackson"/>
    <s v="SINGLE PLAY"/>
    <s v="CONNECTED HOME NETWORK"/>
    <m/>
    <n v="125"/>
    <n v="40"/>
    <m/>
    <n v="165"/>
  </r>
  <r>
    <s v="Aug 19, 2022"/>
    <x v="113"/>
    <s v="kevin Jackson"/>
    <s v="TRIP CHARGE"/>
    <m/>
    <m/>
    <n v="40"/>
    <m/>
    <m/>
    <n v="40"/>
  </r>
  <r>
    <s v="Aug 20, 2022"/>
    <x v="114"/>
    <s v="Remington Taylor"/>
    <s v="TRIP CHARGE"/>
    <m/>
    <m/>
    <n v="40"/>
    <m/>
    <m/>
    <n v="40"/>
  </r>
  <r>
    <s v="Aug 20, 2022"/>
    <x v="115"/>
    <s v="kevin Jackson"/>
    <s v="TRIP CHARGE"/>
    <m/>
    <m/>
    <n v="40"/>
    <m/>
    <m/>
    <n v="40"/>
  </r>
  <r>
    <s v="Aug 20, 2022"/>
    <x v="116"/>
    <s v="Remington Taylor"/>
    <s v="SINGLE PLAY"/>
    <m/>
    <m/>
    <n v="125"/>
    <m/>
    <m/>
    <n v="125"/>
  </r>
  <r>
    <s v="Aug 20, 2022"/>
    <x v="117"/>
    <s v="kevin Jackson"/>
    <s v="TRIP CHARGE"/>
    <m/>
    <m/>
    <n v="40"/>
    <m/>
    <m/>
    <n v="40"/>
  </r>
  <r>
    <s v="Aug 20, 2022"/>
    <x v="118"/>
    <s v="Chris Ambler"/>
    <s v="SINGLE PLAY"/>
    <s v="CONNECTED HOME NETWORK"/>
    <m/>
    <n v="125"/>
    <n v="40"/>
    <m/>
    <n v="165"/>
  </r>
  <r>
    <s v="Aug 20, 2022"/>
    <x v="119"/>
    <s v="kevin Jackson"/>
    <s v="TRIPLE PLAY MDU"/>
    <s v="CONNECTED HOME NETWORK"/>
    <m/>
    <n v="125"/>
    <n v="40"/>
    <m/>
    <n v="165"/>
  </r>
  <r>
    <s v="Aug 20, 2022"/>
    <x v="120"/>
    <s v="Chris Ambler"/>
    <s v="DOUBLE PLAY MDU"/>
    <s v="CONNECTED HOME NETWORK"/>
    <m/>
    <n v="105"/>
    <n v="40"/>
    <m/>
    <n v="145"/>
  </r>
  <r>
    <s v="Aug 20, 2022"/>
    <x v="121"/>
    <s v="Chris Ambler"/>
    <s v="SINGLE PLAY"/>
    <s v="CONNECTED HOME NETWORK"/>
    <m/>
    <n v="125"/>
    <n v="40"/>
    <m/>
    <n v="165"/>
  </r>
  <r>
    <s v="Aug 20, 2022"/>
    <x v="122"/>
    <s v="Remington Taylor"/>
    <s v="TRIP CHARGE"/>
    <m/>
    <m/>
    <n v="40"/>
    <m/>
    <m/>
    <n v="40"/>
  </r>
  <r>
    <s v="Aug 20, 2022"/>
    <x v="123"/>
    <s v="Remington Taylor"/>
    <s v="TRIP CHARGE"/>
    <m/>
    <m/>
    <n v="40"/>
    <m/>
    <m/>
    <n v="40"/>
  </r>
  <r>
    <s v="Aug 20, 2022"/>
    <x v="124"/>
    <s v="Chris Ambler"/>
    <s v="SINGLE PLAY MDU"/>
    <s v="CONNECTED HOME NETWORK"/>
    <m/>
    <n v="85"/>
    <n v="40"/>
    <m/>
    <n v="125"/>
  </r>
  <r>
    <s v="Aug 20, 2022"/>
    <x v="125"/>
    <s v="Remington Taylor"/>
    <s v="TRIP CHARGE"/>
    <m/>
    <m/>
    <n v="40"/>
    <m/>
    <m/>
    <n v="40"/>
  </r>
  <r>
    <s v="Aug 20, 2022"/>
    <x v="126"/>
    <s v="Chris Ambler"/>
    <s v="SINGLE PLAY"/>
    <s v="CONNECTED HOME NETWORK"/>
    <m/>
    <n v="125"/>
    <n v="40"/>
    <m/>
    <n v="165"/>
  </r>
  <r>
    <s v="Aug 20, 2022"/>
    <x v="127"/>
    <s v="Remington Taylor"/>
    <s v="SINGLE PLAY"/>
    <s v="CONNECTED HOME NETWORK"/>
    <m/>
    <n v="125"/>
    <n v="40"/>
    <m/>
    <n v="16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Aug 22, 2022"/>
    <x v="0"/>
    <s v="Chris Ambler"/>
    <s v="SINGLE PLAY"/>
    <s v="CONNECTED HOME NETWORK"/>
    <m/>
    <n v="125"/>
    <n v="40"/>
    <m/>
    <n v="165"/>
  </r>
  <r>
    <s v="Aug 22, 2022"/>
    <x v="1"/>
    <s v="Chris Ambler"/>
    <s v="TRIP CHARGE"/>
    <m/>
    <m/>
    <n v="40"/>
    <m/>
    <m/>
    <n v="40"/>
  </r>
  <r>
    <s v="Aug 22, 2022"/>
    <x v="2"/>
    <s v="Chris Ambler"/>
    <s v="TRIP CHARGE"/>
    <m/>
    <m/>
    <n v="40"/>
    <m/>
    <m/>
    <n v="40"/>
  </r>
  <r>
    <s v="Aug 22, 2022"/>
    <x v="3"/>
    <s v="Chris Ambler"/>
    <s v="SINGLE PLAY MDU"/>
    <s v="CONNECTED HOME NETWORK"/>
    <m/>
    <n v="85"/>
    <n v="40"/>
    <m/>
    <n v="125"/>
  </r>
  <r>
    <s v="Aug 22, 2022"/>
    <x v="4"/>
    <s v="Chris Ambler"/>
    <s v="TRIPLE PLAY"/>
    <s v="CONNECTED HOME NETWORK"/>
    <s v="5 NEW OUTLETS"/>
    <n v="185"/>
    <n v="40"/>
    <n v="225"/>
    <n v="450"/>
  </r>
  <r>
    <s v="Aug 22, 2022"/>
    <x v="5"/>
    <s v="Chris Ambler"/>
    <s v="TRIP CHARGE"/>
    <m/>
    <m/>
    <n v="40"/>
    <m/>
    <m/>
    <n v="40"/>
  </r>
  <r>
    <s v="Aug 22, 2022"/>
    <x v="6"/>
    <s v="Chris Ambler"/>
    <s v="SINGLE PLAY"/>
    <s v="CONNECTED HOME NETWORK"/>
    <m/>
    <n v="125"/>
    <n v="40"/>
    <m/>
    <n v="165"/>
  </r>
  <r>
    <s v="Aug 22, 2022"/>
    <x v="7"/>
    <s v="Chris Ambler"/>
    <s v="SINGLE PLAY MDU"/>
    <s v="CONNECTED HOME NETWORK"/>
    <m/>
    <n v="85"/>
    <n v="40"/>
    <m/>
    <n v="125"/>
  </r>
  <r>
    <s v="Aug 22, 2022"/>
    <x v="8"/>
    <s v="Chris Ambler"/>
    <s v="SINGLE PLAY"/>
    <s v="CONNECTED HOME NETWORK"/>
    <m/>
    <n v="125"/>
    <n v="40"/>
    <m/>
    <n v="165"/>
  </r>
  <r>
    <s v="Aug 22, 2022"/>
    <x v="9"/>
    <s v="kevin Jackson"/>
    <s v="SINGLE PLAY"/>
    <s v="CONNECTED HOME NETWORK"/>
    <m/>
    <n v="125"/>
    <n v="40"/>
    <m/>
    <n v="165"/>
  </r>
  <r>
    <s v="Aug 22, 2022"/>
    <x v="10"/>
    <s v="kevin Jackson"/>
    <s v="SINGLE PLAY"/>
    <s v="CONNECTED HOME NETWORK"/>
    <m/>
    <n v="125"/>
    <n v="40"/>
    <m/>
    <n v="165"/>
  </r>
  <r>
    <s v="Aug 22, 2022"/>
    <x v="11"/>
    <s v="kevin Jackson"/>
    <s v="SINGLE PLAY"/>
    <s v="CONNECTED HOME NETWORK"/>
    <s v="NEW OUTLET INCLUDING BATTERY OUTLET/CAT 5"/>
    <n v="125"/>
    <n v="40"/>
    <n v="90"/>
    <n v="255"/>
  </r>
  <r>
    <s v="Aug 22, 2022"/>
    <x v="12"/>
    <s v="kevin Jackson"/>
    <s v="SINGLE PLAY"/>
    <s v="CONNECTED HOME NETWORK"/>
    <m/>
    <n v="125"/>
    <n v="40"/>
    <m/>
    <n v="165"/>
  </r>
  <r>
    <s v="Aug 22, 2022"/>
    <x v="13"/>
    <s v="kevin Jackson"/>
    <s v="DOUBLE PLAY MDU"/>
    <s v="CONNECTED HOME NETWORK"/>
    <m/>
    <n v="105"/>
    <n v="40"/>
    <m/>
    <n v="145"/>
  </r>
  <r>
    <s v="Aug 22, 2022"/>
    <x v="14"/>
    <s v="kevin Jackson"/>
    <s v="SINGLE PLAY"/>
    <s v="NEW OUTLET INCLUDING BATTERY OUTLET/CAT 5"/>
    <s v="CONNECTED HOME NETWORK"/>
    <n v="125"/>
    <n v="45"/>
    <n v="40"/>
    <n v="210"/>
  </r>
  <r>
    <s v="Aug 22, 2022"/>
    <x v="15"/>
    <s v="kevin Jackson"/>
    <s v="TRIP CHARGE"/>
    <m/>
    <m/>
    <n v="40"/>
    <m/>
    <m/>
    <n v="40"/>
  </r>
  <r>
    <s v="Aug 22, 2022"/>
    <x v="16"/>
    <s v="Marcus Martin"/>
    <s v="SINGLE PLAY"/>
    <s v="CONNECTED HOME NETWORK"/>
    <m/>
    <n v="125"/>
    <n v="40"/>
    <m/>
    <n v="165"/>
  </r>
  <r>
    <s v="Aug 22, 2022"/>
    <x v="17"/>
    <s v="Marcus Martin"/>
    <s v="SINGLE PLAY"/>
    <s v="CONNECTED HOME NETWORK"/>
    <m/>
    <n v="125"/>
    <n v="40"/>
    <m/>
    <n v="165"/>
  </r>
  <r>
    <s v="Aug 22, 2022"/>
    <x v="18"/>
    <s v="Marcus Martin"/>
    <s v="SINGLE PLAY MDU"/>
    <s v="CONNECTED HOME NETWORK"/>
    <m/>
    <n v="85"/>
    <n v="40"/>
    <m/>
    <n v="125"/>
  </r>
  <r>
    <s v="Aug 22, 2022"/>
    <x v="19"/>
    <s v="Marcus Martin"/>
    <s v="SINGLE PLAY"/>
    <s v="CONNECTED HOME NETWORK"/>
    <s v="NEW OUTLET INCLUDING BATTERY OUTLET/CAT 5"/>
    <n v="125"/>
    <n v="40"/>
    <n v="45"/>
    <n v="210"/>
  </r>
  <r>
    <s v="Aug 23, 2022"/>
    <x v="20"/>
    <s v="kevin Jackson"/>
    <s v="TRIP CHARGE"/>
    <m/>
    <m/>
    <n v="40"/>
    <m/>
    <m/>
    <n v="40"/>
  </r>
  <r>
    <s v="Aug 23, 2022"/>
    <x v="21"/>
    <s v="Remington Taylor"/>
    <s v="TRIP CHARGE"/>
    <m/>
    <m/>
    <n v="40"/>
    <m/>
    <m/>
    <n v="40"/>
  </r>
  <r>
    <s v="Aug 23, 2022"/>
    <x v="22"/>
    <s v="Chris Ambler"/>
    <s v="TRIPLE PLAY"/>
    <s v="CONNECTED HOME NETWORK"/>
    <m/>
    <n v="185"/>
    <n v="40"/>
    <m/>
    <n v="225"/>
  </r>
  <r>
    <s v="Aug 23, 2022"/>
    <x v="23"/>
    <s v="Remington Taylor"/>
    <s v="TRIP CHARGE"/>
    <m/>
    <m/>
    <n v="40"/>
    <m/>
    <m/>
    <n v="40"/>
  </r>
  <r>
    <s v="Aug 23, 2022"/>
    <x v="24"/>
    <s v="kevin Jackson"/>
    <s v="DOUBLE PLAY MDU"/>
    <m/>
    <m/>
    <n v="105"/>
    <m/>
    <m/>
    <n v="105"/>
  </r>
  <r>
    <s v="Aug 23, 2022"/>
    <x v="25"/>
    <s v="Chris Ambler"/>
    <s v="TRIP CHARGE"/>
    <m/>
    <m/>
    <n v="40"/>
    <m/>
    <m/>
    <n v="40"/>
  </r>
  <r>
    <s v="Aug 23, 2022"/>
    <x v="26"/>
    <s v="Remington Taylor"/>
    <s v="TRIP CHARGE"/>
    <m/>
    <m/>
    <n v="40"/>
    <m/>
    <m/>
    <n v="40"/>
  </r>
  <r>
    <s v="Aug 23, 2022"/>
    <x v="27"/>
    <s v="Chris Ambler"/>
    <s v="SINGLE PLAY"/>
    <s v="CONNECTED HOME NETWORK"/>
    <m/>
    <n v="125"/>
    <n v="40"/>
    <m/>
    <n v="165"/>
  </r>
  <r>
    <s v="Aug 23, 2022"/>
    <x v="28"/>
    <s v="Remington Taylor"/>
    <s v="SINGLE PLAY"/>
    <m/>
    <m/>
    <n v="125"/>
    <m/>
    <m/>
    <n v="125"/>
  </r>
  <r>
    <s v="Aug 23, 2022"/>
    <x v="29"/>
    <s v="Remington Taylor"/>
    <s v="TRIP CHARGE"/>
    <m/>
    <m/>
    <n v="40"/>
    <m/>
    <m/>
    <n v="40"/>
  </r>
  <r>
    <s v="Aug 23, 2022"/>
    <x v="30"/>
    <s v="Chris Ambler"/>
    <s v="SINGLE PLAY"/>
    <s v="CONNECTED HOME NETWORK"/>
    <s v="DROP"/>
    <n v="125"/>
    <n v="40"/>
    <n v="30"/>
    <n v="195"/>
  </r>
  <r>
    <s v="Aug 23, 2022"/>
    <x v="31"/>
    <s v="kevin Jackson"/>
    <s v="DOUBLE PLAY"/>
    <s v="CONNECTED HOME NETWORK"/>
    <m/>
    <n v="155"/>
    <n v="40"/>
    <m/>
    <n v="195"/>
  </r>
  <r>
    <s v="Aug 23, 2022"/>
    <x v="32"/>
    <s v="kevin Jackson"/>
    <s v="TRIP CHARGE"/>
    <m/>
    <m/>
    <n v="40"/>
    <m/>
    <m/>
    <n v="40"/>
  </r>
  <r>
    <s v="Aug 23, 2022"/>
    <x v="33"/>
    <s v="Remington Taylor"/>
    <s v="EMTA CONVERSION INCLUDING SCHEDULING WITH THE CUSTOMER"/>
    <m/>
    <m/>
    <n v="85"/>
    <m/>
    <m/>
    <n v="85"/>
  </r>
  <r>
    <s v="Aug 23, 2022"/>
    <x v="34"/>
    <s v="kevin Jackson"/>
    <s v="SINGLE PLAY"/>
    <s v="CONNECTED HOME NETWORK"/>
    <s v="DROP"/>
    <n v="125"/>
    <n v="40"/>
    <n v="30"/>
    <n v="195"/>
  </r>
  <r>
    <s v="Aug 23, 2022"/>
    <x v="35"/>
    <s v="Remington Taylor"/>
    <s v="SINGLE PLAY"/>
    <m/>
    <m/>
    <n v="125"/>
    <m/>
    <m/>
    <n v="125"/>
  </r>
  <r>
    <s v="Aug 23, 2022"/>
    <x v="36"/>
    <s v="Chris Ambler"/>
    <s v="DOUBLE PLAY"/>
    <s v="CONNECTED HOME NETWORK"/>
    <m/>
    <n v="155"/>
    <n v="40"/>
    <m/>
    <n v="195"/>
  </r>
  <r>
    <s v="Aug 23, 2022"/>
    <x v="37"/>
    <s v="Remington Taylor"/>
    <s v="SINGLE PLAY"/>
    <s v="CONNECTED HOME NETWORK"/>
    <m/>
    <n v="125"/>
    <n v="40"/>
    <m/>
    <n v="165"/>
  </r>
  <r>
    <s v="Aug 23, 2022"/>
    <x v="38"/>
    <s v="Marcus Martin"/>
    <s v="TRIP CHARGE"/>
    <m/>
    <m/>
    <n v="40"/>
    <m/>
    <m/>
    <n v="40"/>
  </r>
  <r>
    <s v="Aug 23, 2022"/>
    <x v="39"/>
    <s v="Marcus Martin"/>
    <s v="TRIP CHARGE"/>
    <m/>
    <m/>
    <n v="40"/>
    <m/>
    <m/>
    <n v="40"/>
  </r>
  <r>
    <s v="Aug 23, 2022"/>
    <x v="40"/>
    <s v="Marcus Martin"/>
    <s v="TRIP CHARGE"/>
    <m/>
    <m/>
    <n v="40"/>
    <m/>
    <m/>
    <n v="40"/>
  </r>
  <r>
    <s v="Aug 23, 2022"/>
    <x v="41"/>
    <s v="Marcus Martin"/>
    <s v="SINGLE PLAY"/>
    <s v="CONNECTED HOME NETWORK"/>
    <s v="NEW OUTLET INCLUDING BATTERY OUTLET/CAT 5"/>
    <n v="125"/>
    <n v="40"/>
    <n v="90"/>
    <n v="255"/>
  </r>
  <r>
    <s v="Aug 23, 2022"/>
    <x v="42"/>
    <s v="Chris Ambler"/>
    <s v="SINGLE PLAY MDU"/>
    <m/>
    <m/>
    <n v="85"/>
    <m/>
    <m/>
    <n v="85"/>
  </r>
  <r>
    <s v="Aug 23, 2022"/>
    <x v="43"/>
    <s v="Chris Ambler"/>
    <s v="SINGLE PLAY MDU"/>
    <m/>
    <m/>
    <n v="85"/>
    <m/>
    <m/>
    <n v="85"/>
  </r>
  <r>
    <s v="Aug 23, 2022"/>
    <x v="33"/>
    <s v="Remington Taylor"/>
    <s v="TRIP CHARGE"/>
    <m/>
    <m/>
    <n v="40"/>
    <m/>
    <m/>
    <n v="40"/>
  </r>
  <r>
    <s v="Aug 24, 2022"/>
    <x v="26"/>
    <s v="Marcus Martin"/>
    <s v="DOUBLE PLAY"/>
    <s v="CONNECTED HOME NETWORK"/>
    <m/>
    <n v="155"/>
    <n v="40"/>
    <m/>
    <n v="195"/>
  </r>
  <r>
    <s v="Aug 24, 2022"/>
    <x v="44"/>
    <s v="Marcus Martin"/>
    <s v="DOUBLE PLAY MDU"/>
    <m/>
    <m/>
    <n v="105"/>
    <m/>
    <m/>
    <n v="105"/>
  </r>
  <r>
    <s v="Aug 24, 2022"/>
    <x v="45"/>
    <s v="Marcus Martin"/>
    <s v="TRIP CHARGE"/>
    <m/>
    <m/>
    <n v="40"/>
    <m/>
    <m/>
    <n v="40"/>
  </r>
  <r>
    <s v="Aug 24, 2022"/>
    <x v="46"/>
    <s v="Marcus Martin"/>
    <s v="SINGLE PLAY"/>
    <s v="CONNECTED HOME NETWORK"/>
    <s v="NEW OUTLET INCLUDING BATTERY OUTLET/CAT 5"/>
    <n v="125"/>
    <n v="40"/>
    <n v="90"/>
    <n v="255"/>
  </r>
  <r>
    <s v="Aug 24, 2022"/>
    <x v="47"/>
    <s v="kevin Jackson"/>
    <s v="SINGLE PLAY"/>
    <s v="CONNECTED HOME NETWORK"/>
    <m/>
    <n v="125"/>
    <n v="40"/>
    <m/>
    <n v="165"/>
  </r>
  <r>
    <s v="Aug 24, 2022"/>
    <x v="48"/>
    <s v="Chris Ambler"/>
    <s v="TRIPLE PLAY MDU"/>
    <s v="CONNECTED HOME NETWORK"/>
    <m/>
    <n v="125"/>
    <n v="40"/>
    <m/>
    <n v="165"/>
  </r>
  <r>
    <s v="Aug 24, 2022"/>
    <x v="49"/>
    <s v="kevin Jackson"/>
    <s v="SINGLE PLAY MDU"/>
    <s v="CONNECTED HOME NETWORK"/>
    <m/>
    <n v="85"/>
    <n v="40"/>
    <m/>
    <n v="125"/>
  </r>
  <r>
    <s v="Aug 24, 2022"/>
    <x v="50"/>
    <s v="Remington Taylor"/>
    <s v="SINGLE PLAY"/>
    <s v="CONNECTED HOME NETWORK"/>
    <m/>
    <n v="125"/>
    <n v="40"/>
    <m/>
    <n v="165"/>
  </r>
  <r>
    <s v="Aug 24, 2022"/>
    <x v="51"/>
    <s v="Remington Taylor"/>
    <s v="TRIP CHARGE"/>
    <m/>
    <m/>
    <n v="40"/>
    <m/>
    <m/>
    <n v="40"/>
  </r>
  <r>
    <s v="Aug 24, 2022"/>
    <x v="52"/>
    <s v="kevin Jackson"/>
    <s v="DOUBLE PLAY MDU"/>
    <m/>
    <m/>
    <n v="105"/>
    <m/>
    <m/>
    <n v="105"/>
  </r>
  <r>
    <s v="Aug 24, 2022"/>
    <x v="53"/>
    <s v="Chris Ambler"/>
    <s v="TRIPLE PLAY MDU"/>
    <s v="CONNECTED HOME NETWORK"/>
    <m/>
    <n v="125"/>
    <n v="40"/>
    <m/>
    <n v="165"/>
  </r>
  <r>
    <s v="Aug 24, 2022"/>
    <x v="54"/>
    <s v="Chris Ambler"/>
    <s v="SINGLE PLAY"/>
    <m/>
    <m/>
    <n v="125"/>
    <m/>
    <m/>
    <n v="125"/>
  </r>
  <r>
    <s v="Aug 24, 2022"/>
    <x v="55"/>
    <s v="kevin Jackson"/>
    <s v="SINGLE PLAY"/>
    <s v="CONNECTED HOME NETWORK"/>
    <s v="NEW OUTLET INCLUDING BATTERY OUTLET/CAT 5"/>
    <n v="125"/>
    <n v="40"/>
    <n v="45"/>
    <n v="210"/>
  </r>
  <r>
    <s v="Aug 24, 2022"/>
    <x v="56"/>
    <s v="Remington Taylor"/>
    <s v="TRIP CHARGE"/>
    <m/>
    <m/>
    <n v="40"/>
    <m/>
    <m/>
    <n v="40"/>
  </r>
  <r>
    <s v="Aug 24, 2022"/>
    <x v="57"/>
    <s v="Remington Taylor"/>
    <s v="SINGLE PLAY"/>
    <s v="CONNECTED HOME NETWORK"/>
    <s v="NEW OUTLET INCLUDING BATTERY OUTLET/CAT 5"/>
    <n v="125"/>
    <n v="40"/>
    <n v="45"/>
    <n v="210"/>
  </r>
  <r>
    <s v="Aug 24, 2022"/>
    <x v="58"/>
    <s v="Chris Ambler"/>
    <s v="SINGLE PLAY"/>
    <s v="CONNECTED HOME NETWORK"/>
    <m/>
    <n v="125"/>
    <n v="40"/>
    <m/>
    <n v="165"/>
  </r>
  <r>
    <s v="Aug 24, 2022"/>
    <x v="59"/>
    <s v="kevin Jackson"/>
    <s v="DOUBLE PLAY"/>
    <s v="CONNECTED HOME NETWORK"/>
    <m/>
    <n v="155"/>
    <n v="40"/>
    <m/>
    <n v="195"/>
  </r>
  <r>
    <s v="Aug 24, 2022"/>
    <x v="60"/>
    <s v="kevin Jackson"/>
    <s v="SINGLE PLAY"/>
    <s v="CONNECTED HOME NETWORK"/>
    <m/>
    <n v="125"/>
    <n v="40"/>
    <m/>
    <n v="165"/>
  </r>
  <r>
    <s v="Aug 24, 2022"/>
    <x v="61"/>
    <s v="Chris Ambler"/>
    <s v="EMTA CONVERSION INCLUDING SCHEDULING WITH THE CUSTOMER"/>
    <m/>
    <m/>
    <n v="85"/>
    <m/>
    <m/>
    <n v="85"/>
  </r>
  <r>
    <s v="Aug 24, 2022"/>
    <x v="62"/>
    <s v="Remington Taylor"/>
    <s v="SINGLE PLAY"/>
    <s v="CONNECTED HOME NETWORK"/>
    <s v="NEW OUTLET INCLUDING BATTERY OUTLET/CAT 5"/>
    <n v="125"/>
    <n v="40"/>
    <n v="45"/>
    <n v="210"/>
  </r>
  <r>
    <s v="Aug 25, 2022"/>
    <x v="32"/>
    <s v="Remington Taylor"/>
    <s v="TRIP CHARGE"/>
    <m/>
    <m/>
    <n v="40"/>
    <m/>
    <m/>
    <n v="40"/>
  </r>
  <r>
    <s v="Aug 25, 2022"/>
    <x v="63"/>
    <s v="Chris Ambler"/>
    <s v="TRIPLE PLAY"/>
    <s v="CONNECTED HOME NETWORK"/>
    <m/>
    <n v="185"/>
    <n v="40"/>
    <m/>
    <n v="225"/>
  </r>
  <r>
    <s v="Aug 25, 2022"/>
    <x v="64"/>
    <s v="Remington Taylor"/>
    <s v="SINGLE PLAY"/>
    <m/>
    <m/>
    <n v="125"/>
    <m/>
    <m/>
    <n v="125"/>
  </r>
  <r>
    <s v="Aug 25, 2022"/>
    <x v="65"/>
    <s v="Remington Taylor"/>
    <s v="SINGLE PLAY MDU"/>
    <m/>
    <m/>
    <n v="85"/>
    <m/>
    <m/>
    <n v="85"/>
  </r>
  <r>
    <s v="Aug 25, 2022"/>
    <x v="66"/>
    <s v="Remington Taylor"/>
    <s v="SINGLE PLAY"/>
    <s v="CONNECTED HOME NETWORK"/>
    <m/>
    <n v="125"/>
    <n v="40"/>
    <m/>
    <n v="165"/>
  </r>
  <r>
    <s v="Aug 25, 2022"/>
    <x v="67"/>
    <s v="Chris Ambler"/>
    <s v="DOUBLE PLAY MDU"/>
    <m/>
    <m/>
    <n v="105"/>
    <m/>
    <m/>
    <n v="105"/>
  </r>
  <r>
    <s v="Aug 25, 2022"/>
    <x v="68"/>
    <s v="Remington Taylor"/>
    <s v="TRIPLE PLAY MDU"/>
    <s v="CONNECTED HOME NETWORK"/>
    <m/>
    <n v="125"/>
    <n v="40"/>
    <m/>
    <n v="165"/>
  </r>
  <r>
    <s v="Aug 25, 2022"/>
    <x v="69"/>
    <s v="Chris Ambler"/>
    <s v="TRIP CHARGE"/>
    <m/>
    <m/>
    <n v="40"/>
    <m/>
    <m/>
    <n v="40"/>
  </r>
  <r>
    <s v="Aug 25, 2022"/>
    <x v="70"/>
    <s v="Chris Ambler"/>
    <s v="SINGLE PLAY"/>
    <s v="NEW OUTLET INCLUDING BATTERY OUTLET/CAT 5"/>
    <s v="CONNECTED HOME NETWORK"/>
    <n v="125"/>
    <n v="90"/>
    <n v="40"/>
    <n v="255"/>
  </r>
  <r>
    <s v="Aug 25, 2022"/>
    <x v="71"/>
    <s v="Remington Taylor"/>
    <s v="SINGLE PLAY"/>
    <m/>
    <m/>
    <n v="125"/>
    <m/>
    <m/>
    <n v="125"/>
  </r>
  <r>
    <s v="Aug 25, 2022"/>
    <x v="72"/>
    <s v="Remington Taylor"/>
    <s v="SINGLE PLAY"/>
    <m/>
    <m/>
    <n v="125"/>
    <m/>
    <m/>
    <n v="125"/>
  </r>
  <r>
    <s v="Aug 25, 2022"/>
    <x v="73"/>
    <s v="Chris Ambler"/>
    <s v="SINGLE PLAY"/>
    <m/>
    <m/>
    <n v="125"/>
    <m/>
    <m/>
    <n v="125"/>
  </r>
  <r>
    <s v="Aug 25, 2022"/>
    <x v="74"/>
    <s v="Remington Taylor"/>
    <s v="TRIP CHARGE"/>
    <m/>
    <m/>
    <n v="40"/>
    <m/>
    <m/>
    <n v="40"/>
  </r>
  <r>
    <s v="Aug 25, 2022"/>
    <x v="75"/>
    <s v="Marcus Martin"/>
    <s v="SINGLE PLAY"/>
    <s v="CONNECTED HOME NETWORK"/>
    <m/>
    <n v="125"/>
    <n v="40"/>
    <m/>
    <n v="165"/>
  </r>
  <r>
    <s v="Aug 25, 2022"/>
    <x v="76"/>
    <s v="Marcus Martin"/>
    <s v="INSTALL NEW OR EXISTING OUTLET SEPARATE TRIP"/>
    <m/>
    <m/>
    <n v="65"/>
    <m/>
    <m/>
    <n v="65"/>
  </r>
  <r>
    <s v="Aug 25, 2022"/>
    <x v="77"/>
    <s v="Marcus Martin"/>
    <s v="TRIP CHARGE"/>
    <m/>
    <m/>
    <n v="40"/>
    <m/>
    <m/>
    <n v="40"/>
  </r>
  <r>
    <s v="Aug 25, 2022"/>
    <x v="78"/>
    <s v="Marcus Martin"/>
    <s v="DOUBLE PLAY MDU"/>
    <s v="CONNECTED HOME NETWORK"/>
    <m/>
    <n v="105"/>
    <n v="40"/>
    <m/>
    <n v="145"/>
  </r>
  <r>
    <s v="Aug 25, 2022"/>
    <x v="79"/>
    <s v="Marcus Martin"/>
    <s v="TRIP CHARGE"/>
    <m/>
    <m/>
    <n v="40"/>
    <m/>
    <m/>
    <n v="40"/>
  </r>
  <r>
    <s v="Aug 25, 2022"/>
    <x v="80"/>
    <s v="Marcus Martin"/>
    <s v="SINGLE PLAY"/>
    <s v="CONNECTED HOME NETWORK"/>
    <s v="DROP"/>
    <n v="125"/>
    <n v="40"/>
    <n v="30"/>
    <n v="195"/>
  </r>
  <r>
    <s v="Aug 25, 2022"/>
    <x v="81"/>
    <s v="Marcus Martin"/>
    <s v="SINGLE PLAY"/>
    <m/>
    <m/>
    <n v="125"/>
    <m/>
    <m/>
    <n v="125"/>
  </r>
  <r>
    <s v="Aug 25, 2022"/>
    <x v="82"/>
    <s v="Marcus Martin"/>
    <s v="SINGLE PLAY"/>
    <s v="CONNECTED HOME NETWORK"/>
    <m/>
    <n v="125"/>
    <n v="40"/>
    <m/>
    <n v="165"/>
  </r>
  <r>
    <s v="Aug 26, 2022"/>
    <x v="83"/>
    <s v="Remington Taylor"/>
    <s v="SINGLE PLAY"/>
    <m/>
    <m/>
    <n v="125"/>
    <m/>
    <m/>
    <n v="125"/>
  </r>
  <r>
    <s v="Aug 26, 2022"/>
    <x v="84"/>
    <s v="Remington Taylor"/>
    <s v="SINGLE PLAY"/>
    <s v="CONNECTED HOME NETWORK"/>
    <m/>
    <n v="125"/>
    <n v="40"/>
    <m/>
    <n v="165"/>
  </r>
  <r>
    <s v="Aug 26, 2022"/>
    <x v="85"/>
    <s v="Chris Ambler"/>
    <s v="SINGLE PLAY MDU"/>
    <m/>
    <m/>
    <n v="85"/>
    <m/>
    <m/>
    <n v="85"/>
  </r>
  <r>
    <s v="Aug 26, 2022"/>
    <x v="86"/>
    <s v="Remington Taylor"/>
    <s v="DOUBLE PLAY MDU"/>
    <s v="CONNECTED HOME NETWORK"/>
    <m/>
    <n v="105"/>
    <n v="40"/>
    <m/>
    <n v="145"/>
  </r>
  <r>
    <s v="Aug 26, 2022"/>
    <x v="87"/>
    <s v="Chris Ambler"/>
    <s v="SINGLE PLAY MDU"/>
    <m/>
    <m/>
    <n v="85"/>
    <m/>
    <m/>
    <n v="85"/>
  </r>
  <r>
    <s v="Aug 26, 2022"/>
    <x v="88"/>
    <s v="Chris Ambler"/>
    <s v="SINGLE PLAY MDU"/>
    <m/>
    <m/>
    <n v="85"/>
    <m/>
    <m/>
    <n v="85"/>
  </r>
  <r>
    <s v="Aug 26, 2022"/>
    <x v="89"/>
    <s v="Chris Ambler"/>
    <s v="SINGLE PLAY MDU"/>
    <m/>
    <m/>
    <n v="85"/>
    <m/>
    <m/>
    <n v="85"/>
  </r>
  <r>
    <s v="Aug 26, 2022"/>
    <x v="90"/>
    <s v="Chris Ambler"/>
    <s v="SINGLE PLAY MDU"/>
    <m/>
    <m/>
    <n v="85"/>
    <m/>
    <m/>
    <n v="85"/>
  </r>
  <r>
    <s v="Aug 26, 2022"/>
    <x v="91"/>
    <s v="Remington Taylor"/>
    <s v="SINGLE PLAY MDU"/>
    <s v="CONNECTED HOME NETWORK"/>
    <m/>
    <n v="85"/>
    <n v="40"/>
    <m/>
    <n v="125"/>
  </r>
  <r>
    <s v="Aug 26, 2022"/>
    <x v="92"/>
    <s v="Remington Taylor"/>
    <s v="SINGLE PLAY"/>
    <s v="CONNECTED HOME NETWORK"/>
    <m/>
    <n v="125"/>
    <n v="40"/>
    <m/>
    <n v="165"/>
  </r>
  <r>
    <s v="Aug 26, 2022"/>
    <x v="93"/>
    <s v="Chris Ambler"/>
    <s v="TRIP CHARGE"/>
    <m/>
    <m/>
    <n v="40"/>
    <m/>
    <m/>
    <n v="40"/>
  </r>
  <r>
    <s v="Aug 26, 2022"/>
    <x v="94"/>
    <s v="Chris Ambler"/>
    <s v="SINGLE PLAY"/>
    <m/>
    <m/>
    <n v="125"/>
    <m/>
    <m/>
    <n v="125"/>
  </r>
  <r>
    <s v="Aug 26, 2022"/>
    <x v="95"/>
    <s v="Remington Taylor"/>
    <s v="SINGLE PLAY"/>
    <m/>
    <m/>
    <n v="125"/>
    <m/>
    <m/>
    <n v="125"/>
  </r>
  <r>
    <s v="Aug 26, 2022"/>
    <x v="96"/>
    <s v="Remington Taylor"/>
    <s v="SINGLE PLAY"/>
    <m/>
    <m/>
    <n v="125"/>
    <m/>
    <m/>
    <n v="125"/>
  </r>
  <r>
    <s v="Aug 26, 2022"/>
    <x v="97"/>
    <s v="Chris Ambler"/>
    <s v="SINGLE PLAY"/>
    <s v="CONNECTED HOME NETWORK"/>
    <m/>
    <n v="125"/>
    <n v="40"/>
    <m/>
    <n v="165"/>
  </r>
  <r>
    <s v="Aug 26, 2022"/>
    <x v="98"/>
    <s v="Marcus Martin"/>
    <s v="SINGLE PLAY"/>
    <s v="CONNECTED HOME NETWORK"/>
    <m/>
    <n v="125"/>
    <n v="40"/>
    <m/>
    <n v="165"/>
  </r>
  <r>
    <s v="Aug 26, 2022"/>
    <x v="99"/>
    <s v="Marcus Martin"/>
    <s v="TRIP CHARGE"/>
    <m/>
    <m/>
    <n v="40"/>
    <m/>
    <m/>
    <n v="40"/>
  </r>
  <r>
    <s v="Aug 26, 2022"/>
    <x v="100"/>
    <s v="Marcus Martin"/>
    <s v="SINGLE PLAY"/>
    <s v="CONNECTED HOME NETWORK"/>
    <s v="NEW OUTLET INCLUDING BATTERY OUTLET/CAT 5"/>
    <n v="125"/>
    <n v="40"/>
    <n v="90"/>
    <n v="255"/>
  </r>
  <r>
    <s v="Aug 26, 2022"/>
    <x v="101"/>
    <s v="Marcus Martin"/>
    <s v="TRIP CHARGE"/>
    <m/>
    <m/>
    <n v="40"/>
    <m/>
    <m/>
    <n v="40"/>
  </r>
  <r>
    <s v="Aug 26, 2022"/>
    <x v="102"/>
    <s v="Marcus Martin"/>
    <s v="TRIP CHARGE"/>
    <m/>
    <m/>
    <n v="40"/>
    <m/>
    <m/>
    <n v="40"/>
  </r>
  <r>
    <s v="Aug 26, 2022"/>
    <x v="103"/>
    <s v="Marcus Martin"/>
    <s v="SINGLE PLAY"/>
    <s v="CONNECTED HOME NETWORK"/>
    <s v="NEW OUTLET INCLUDING BATTERY OUTLET/CAT 5"/>
    <n v="125"/>
    <n v="40"/>
    <n v="90"/>
    <n v="255"/>
  </r>
  <r>
    <s v="Aug 26, 2022"/>
    <x v="104"/>
    <s v="Derrick Martin"/>
    <s v="SINGLE PLAY"/>
    <s v="CONNECTED HOME NETWORK"/>
    <s v="NEW OUTLET INCLUDING BATTERY OUTLET/CAT 5"/>
    <n v="125"/>
    <n v="40"/>
    <n v="45"/>
    <n v="210"/>
  </r>
  <r>
    <s v="Aug 26, 2022"/>
    <x v="77"/>
    <s v="Marcus Martin"/>
    <s v="DOUBLE PLAY MDU"/>
    <s v="CONNECTED HOME NETWORK"/>
    <m/>
    <n v="105"/>
    <n v="40"/>
    <m/>
    <n v="145"/>
  </r>
  <r>
    <s v="Aug 27, 2022"/>
    <x v="105"/>
    <s v="Chris Ambler"/>
    <s v="SINGLE PLAY"/>
    <s v="CONNECTED HOME NETWORK"/>
    <m/>
    <n v="125"/>
    <n v="40"/>
    <m/>
    <n v="165"/>
  </r>
  <r>
    <s v="Aug 27, 2022"/>
    <x v="106"/>
    <s v="Remington Taylor"/>
    <s v="SINGLE PLAY"/>
    <s v="CONNECTED HOME NETWORK"/>
    <m/>
    <n v="125"/>
    <n v="40"/>
    <m/>
    <n v="165"/>
  </r>
  <r>
    <s v="Aug 27, 2022"/>
    <x v="107"/>
    <s v="Chris Ambler"/>
    <s v="SINGLE PLAY"/>
    <s v="NEW OUTLET SET TOP BOX"/>
    <m/>
    <n v="125"/>
    <n v="55"/>
    <m/>
    <n v="180"/>
  </r>
  <r>
    <s v="Aug 27, 2022"/>
    <x v="108"/>
    <s v="Remington Taylor"/>
    <s v="TRIP CHARGE"/>
    <m/>
    <m/>
    <n v="40"/>
    <m/>
    <m/>
    <n v="40"/>
  </r>
  <r>
    <s v="Aug 27, 2022"/>
    <x v="2"/>
    <s v="Remington Taylor"/>
    <s v="SINGLE PLAY"/>
    <s v="CONNECTED HOME NETWORK"/>
    <m/>
    <n v="125"/>
    <n v="40"/>
    <m/>
    <n v="165"/>
  </r>
  <r>
    <s v="Aug 27, 2022"/>
    <x v="109"/>
    <s v="Chris Ambler"/>
    <s v="SINGLE PLAY MDU"/>
    <s v="CONNECTED HOME NETWORK"/>
    <m/>
    <n v="85"/>
    <n v="40"/>
    <m/>
    <n v="125"/>
  </r>
  <r>
    <s v="Aug 27, 2022"/>
    <x v="110"/>
    <s v="Chris Ambler"/>
    <s v="SINGLE PLAY"/>
    <s v="CONNECTED HOME NETWORK"/>
    <m/>
    <n v="125"/>
    <n v="40"/>
    <m/>
    <n v="165"/>
  </r>
  <r>
    <s v="Aug 27, 2022"/>
    <x v="111"/>
    <s v="Remington Taylor"/>
    <s v="TRIP CHARGE"/>
    <m/>
    <m/>
    <n v="40"/>
    <m/>
    <m/>
    <n v="40"/>
  </r>
  <r>
    <s v="Aug 27, 2022"/>
    <x v="112"/>
    <s v="Chris Ambler"/>
    <s v="SINGLE PLAY"/>
    <s v="CONNECTED HOME NETWORK"/>
    <m/>
    <n v="125"/>
    <n v="40"/>
    <m/>
    <n v="165"/>
  </r>
  <r>
    <s v="Aug 27, 2022"/>
    <x v="113"/>
    <s v="Remington Taylor"/>
    <s v="SINGLE PLAY"/>
    <m/>
    <m/>
    <n v="125"/>
    <m/>
    <m/>
    <n v="12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Aug 29, 2022"/>
    <x v="0"/>
    <s v="Chris Ambler"/>
    <s v="SINGLE PLAY"/>
    <s v="CONNECTED HOME NETWORK"/>
    <m/>
    <n v="125"/>
    <n v="40"/>
    <m/>
    <n v="165"/>
  </r>
  <r>
    <s v="Aug 29, 2022"/>
    <x v="1"/>
    <s v="Chris Ambler"/>
    <s v="TRIPLE PLAY MDU"/>
    <s v="CONNECTED HOME NETWORK"/>
    <m/>
    <n v="125"/>
    <n v="40"/>
    <m/>
    <n v="165"/>
  </r>
  <r>
    <s v="Aug 29, 2022"/>
    <x v="2"/>
    <s v="Remington Taylor"/>
    <s v="SINGLE PLAY"/>
    <s v="CONNECTED HOME NETWORK"/>
    <m/>
    <n v="125"/>
    <n v="40"/>
    <m/>
    <n v="165"/>
  </r>
  <r>
    <s v="Aug 29, 2022"/>
    <x v="3"/>
    <s v="Remington Taylor"/>
    <s v="TRIPLE PLAY MDU"/>
    <m/>
    <m/>
    <n v="125"/>
    <m/>
    <m/>
    <n v="125"/>
  </r>
  <r>
    <s v="Aug 29, 2022"/>
    <x v="4"/>
    <s v="Chris Ambler"/>
    <s v="DOUBLE PLAY MDU"/>
    <s v="CONNECTED HOME NETWORK"/>
    <m/>
    <n v="105"/>
    <n v="40"/>
    <m/>
    <n v="145"/>
  </r>
  <r>
    <s v="Aug 29, 2022"/>
    <x v="5"/>
    <s v="Remington Taylor"/>
    <s v="TRIP CHARGE"/>
    <m/>
    <m/>
    <n v="40"/>
    <m/>
    <m/>
    <n v="40"/>
  </r>
  <r>
    <s v="Aug 29, 2022"/>
    <x v="6"/>
    <s v="Chris Ambler"/>
    <s v="DOUBLE PLAY MDU"/>
    <s v="CONNECTED HOME NETWORK"/>
    <m/>
    <n v="125"/>
    <n v="40"/>
    <m/>
    <n v="165"/>
  </r>
  <r>
    <s v="Aug 29, 2022"/>
    <x v="7"/>
    <s v="Remington Taylor"/>
    <s v="SINGLE PLAY MDU"/>
    <s v="EMTA CONVERSION INCLUDING SCHEDULING WITH THE CUSTOMER"/>
    <m/>
    <n v="85"/>
    <n v="85"/>
    <m/>
    <n v="170"/>
  </r>
  <r>
    <s v="Aug 29, 2022"/>
    <x v="8"/>
    <s v="Chris Ambler"/>
    <s v="SINGLE PLAY"/>
    <s v="Replace Drop"/>
    <m/>
    <n v="125"/>
    <n v="30"/>
    <m/>
    <n v="155"/>
  </r>
  <r>
    <s v="Aug 29, 2022"/>
    <x v="9"/>
    <s v="Remington Taylor"/>
    <s v="SINGLE PLAY"/>
    <s v="CONNECTED HOME NETWORK"/>
    <s v="NEW OUTLET INCLUDING BATTERY OUTLET/CAT 5"/>
    <n v="125"/>
    <n v="40"/>
    <n v="45"/>
    <n v="210"/>
  </r>
  <r>
    <s v="Aug 29, 2022"/>
    <x v="10"/>
    <s v="Chris Ambler"/>
    <s v="SINGLE PLAY"/>
    <s v="CONNECTED HOME NETWORK"/>
    <m/>
    <n v="125"/>
    <n v="40"/>
    <m/>
    <n v="165"/>
  </r>
  <r>
    <s v="Aug 29, 2022"/>
    <x v="11"/>
    <s v="Marcus Martin"/>
    <s v="SINGLE PLAY"/>
    <s v="CONNECTED HOME NETWORK"/>
    <m/>
    <n v="125"/>
    <n v="40"/>
    <m/>
    <n v="165"/>
  </r>
  <r>
    <s v="Aug 29, 2022"/>
    <x v="12"/>
    <s v="Marcus Martin"/>
    <s v="SINGLE PLAY"/>
    <s v="NEW OUTLET "/>
    <m/>
    <n v="125"/>
    <n v="45"/>
    <m/>
    <n v="170"/>
  </r>
  <r>
    <s v="Aug 29, 2022"/>
    <x v="13"/>
    <s v="Remington Taylor"/>
    <s v="RETURN SERVICE CALL"/>
    <m/>
    <m/>
    <n v="55"/>
    <m/>
    <m/>
    <n v="55"/>
  </r>
  <r>
    <s v="Aug 29, 2022"/>
    <x v="14"/>
    <s v="Remington Taylor"/>
    <s v="TRIP CHARGE"/>
    <m/>
    <m/>
    <n v="40"/>
    <m/>
    <m/>
    <n v="40"/>
  </r>
  <r>
    <s v="Aug 30, 2022"/>
    <x v="15"/>
    <s v="Marcus Martin"/>
    <s v="SINGLE PLAY"/>
    <s v="NEW OUTLET x 2"/>
    <s v="CONNECTED HOME NETWORK"/>
    <n v="125"/>
    <n v="90"/>
    <n v="45"/>
    <n v="260"/>
  </r>
  <r>
    <s v="Aug 30, 2022"/>
    <x v="16"/>
    <s v="Marcus Martin"/>
    <s v="SINGLE PLAY"/>
    <s v="CONNECTED HOME NETWORK"/>
    <m/>
    <n v="125"/>
    <n v="40"/>
    <m/>
    <n v="165"/>
  </r>
  <r>
    <s v="Aug 30, 2022"/>
    <x v="17"/>
    <s v="Marcus Martin"/>
    <s v="TRIP CHARGE"/>
    <m/>
    <m/>
    <n v="40"/>
    <m/>
    <m/>
    <n v="40"/>
  </r>
  <r>
    <s v="Aug 30, 2022"/>
    <x v="18"/>
    <s v="Marcus Martin"/>
    <s v="SINGLE PLAY"/>
    <s v="NEW OUTLET/DROP"/>
    <s v="CONNECTED HOME NETWORK"/>
    <n v="125"/>
    <n v="75"/>
    <n v="45"/>
    <n v="245"/>
  </r>
  <r>
    <s v="Aug 30, 2022"/>
    <x v="19"/>
    <s v="Chris Ambler"/>
    <s v="SINGLE PLAY MDU"/>
    <s v="CONNECTED HOME NETWORK"/>
    <m/>
    <n v="85"/>
    <n v="40"/>
    <m/>
    <n v="125"/>
  </r>
  <r>
    <s v="Aug 30, 2022"/>
    <x v="20"/>
    <s v="Chris Ambler"/>
    <s v="SINGLE PLAY MDU"/>
    <m/>
    <m/>
    <n v="85"/>
    <m/>
    <m/>
    <n v="85"/>
  </r>
  <r>
    <s v="Aug 30, 2022"/>
    <x v="5"/>
    <s v="Remington Taylor"/>
    <s v="SINGLE PLAY"/>
    <s v="CONNECTED HOME NETWORK"/>
    <s v="DROP"/>
    <n v="125"/>
    <n v="40"/>
    <n v="30"/>
    <n v="195"/>
  </r>
  <r>
    <s v="Aug 30, 2022"/>
    <x v="21"/>
    <s v="Chris Ambler"/>
    <s v="SINGLE PLAY"/>
    <s v="CONNECTED HOME NETWORK"/>
    <m/>
    <n v="125"/>
    <n v="40"/>
    <m/>
    <n v="165"/>
  </r>
  <r>
    <s v="Aug 30, 2022"/>
    <x v="22"/>
    <s v="Remington Taylor"/>
    <s v="SINGLE PLAY MDU"/>
    <m/>
    <m/>
    <n v="85"/>
    <m/>
    <m/>
    <n v="85"/>
  </r>
  <r>
    <s v="Aug 30, 2022"/>
    <x v="23"/>
    <s v="Chris Ambler"/>
    <s v="SINGLE PLAY"/>
    <s v="CONNECTED HOME NETWORK"/>
    <s v="NEW OUTLET INCLUDING BATTERY OUTLET/CAT 5"/>
    <n v="125"/>
    <n v="40"/>
    <n v="45"/>
    <n v="210"/>
  </r>
  <r>
    <s v="Aug 30, 2022"/>
    <x v="24"/>
    <s v="Remington Taylor"/>
    <s v="EMTA CONVERSION INCLUDING SCHEDULING WITH THE CUSTOMER"/>
    <m/>
    <m/>
    <n v="85"/>
    <m/>
    <m/>
    <n v="85"/>
  </r>
  <r>
    <s v="Aug 30, 2022"/>
    <x v="25"/>
    <s v="Remington Taylor"/>
    <s v="SINGLE PLAY"/>
    <s v="CONNECTED HOME NETWORK"/>
    <s v="DROP"/>
    <n v="125"/>
    <n v="40"/>
    <n v="30"/>
    <n v="195"/>
  </r>
  <r>
    <s v="Aug 30, 2022"/>
    <x v="26"/>
    <s v="Chris Ambler"/>
    <s v="SINGLE PLAY"/>
    <s v="CONNECTED HOME NETWORK"/>
    <m/>
    <n v="125"/>
    <n v="40"/>
    <m/>
    <n v="165"/>
  </r>
  <r>
    <s v="Aug 31, 2022"/>
    <x v="27"/>
    <s v="Marcus Martin"/>
    <s v="DOUBLE PLAY"/>
    <s v="CONNECTED HOME NETWORK"/>
    <m/>
    <n v="155"/>
    <n v="40"/>
    <m/>
    <n v="195"/>
  </r>
  <r>
    <s v="Aug 31, 2022"/>
    <x v="28"/>
    <s v="Marcus Martin"/>
    <s v="SINGLE PLAY"/>
    <s v="CONNECTED HOME NETWORK"/>
    <s v="NEW OUTLET INCLUDING BATTERY OUTLET/CAT 5"/>
    <n v="125"/>
    <n v="40"/>
    <n v="90"/>
    <n v="255"/>
  </r>
  <r>
    <s v="Aug 31, 2022"/>
    <x v="29"/>
    <s v="Marcus Martin"/>
    <s v="SINGLE PLAY"/>
    <s v="CONNECTED HOME NETWORK"/>
    <m/>
    <n v="125"/>
    <n v="40"/>
    <m/>
    <n v="165"/>
  </r>
  <r>
    <s v="Aug 31, 2022"/>
    <x v="30"/>
    <s v="Chris Ambler"/>
    <s v="SINGLE PLAY MDU"/>
    <m/>
    <m/>
    <n v="85"/>
    <m/>
    <m/>
    <n v="85"/>
  </r>
  <r>
    <s v="Aug 31, 2022"/>
    <x v="31"/>
    <s v="Chris Ambler"/>
    <s v="DOUBLE PLAY MDU"/>
    <s v="CONNECTED HOME NETWORK"/>
    <m/>
    <n v="105"/>
    <n v="40"/>
    <m/>
    <n v="145"/>
  </r>
  <r>
    <s v="Aug 31, 2022"/>
    <x v="32"/>
    <s v="Chris Ambler"/>
    <s v="SINGLE PLAY MDU"/>
    <m/>
    <m/>
    <n v="85"/>
    <m/>
    <m/>
    <n v="85"/>
  </r>
  <r>
    <s v="Aug 31, 2022"/>
    <x v="33"/>
    <s v="Remington Taylor"/>
    <s v="SINGLE PLAY"/>
    <s v="CONNECTED HOME NETWORK"/>
    <s v="NEW OUTLET INCLUDING BATTERY OUTLET/CAT 5"/>
    <n v="125"/>
    <n v="40"/>
    <n v="45"/>
    <n v="210"/>
  </r>
  <r>
    <s v="Aug 31, 2022"/>
    <x v="34"/>
    <s v="Chris Ambler"/>
    <s v="SINGLE PLAY"/>
    <s v="CONNECTED HOME NETWORK"/>
    <m/>
    <n v="125"/>
    <n v="40"/>
    <m/>
    <n v="165"/>
  </r>
  <r>
    <s v="Aug 31, 2022"/>
    <x v="35"/>
    <s v="Chris Ambler"/>
    <s v="DOUBLE PLAY"/>
    <s v="CONNECTED HOME NETWORK"/>
    <m/>
    <n v="155"/>
    <n v="40"/>
    <m/>
    <n v="195"/>
  </r>
  <r>
    <s v="Aug 31, 2022"/>
    <x v="36"/>
    <s v="Remington Taylor"/>
    <s v="SINGLE PLAY"/>
    <s v="CONNECTED HOME NETWORK"/>
    <s v="NEW OUTLET INCLUDING BATTERY OUTLET/CAT 5"/>
    <n v="125"/>
    <n v="40"/>
    <n v="90"/>
    <n v="255"/>
  </r>
  <r>
    <s v="Aug 31, 2022"/>
    <x v="37"/>
    <s v="Chris Ambler"/>
    <s v="DOUBLE PLAY"/>
    <s v="CONNECTED HOME NETWORK"/>
    <m/>
    <n v="155"/>
    <n v="40"/>
    <m/>
    <n v="195"/>
  </r>
  <r>
    <s v="Aug 31, 2022"/>
    <x v="38"/>
    <s v="Remington Taylor"/>
    <s v="SINGLE PLAY"/>
    <s v="CONNECTED HOME NETWORK"/>
    <m/>
    <n v="125"/>
    <n v="40"/>
    <m/>
    <n v="165"/>
  </r>
  <r>
    <s v="Aug 31, 2022"/>
    <x v="39"/>
    <s v="Chris Ambler"/>
    <s v="SINGLE PLAY"/>
    <s v="Replace Drop"/>
    <s v="CONNECTED HOME NETWORK"/>
    <n v="125"/>
    <n v="30"/>
    <n v="40"/>
    <n v="195"/>
  </r>
  <r>
    <s v="Aug 31, 2022"/>
    <x v="40"/>
    <s v="Remington Taylor"/>
    <s v="SINGLE PLAY MDU"/>
    <s v="CONNECTED HOME NETWORK"/>
    <m/>
    <n v="85"/>
    <n v="40"/>
    <m/>
    <n v="125"/>
  </r>
  <r>
    <s v="Aug 31, 2022"/>
    <x v="41"/>
    <s v="Remington Taylor"/>
    <s v="TRIP CHARGE"/>
    <m/>
    <m/>
    <n v="40"/>
    <m/>
    <m/>
    <n v="40"/>
  </r>
  <r>
    <s v="Aug 31, 2022"/>
    <x v="42"/>
    <s v="Remington Taylor"/>
    <s v="SINGLE PLAY"/>
    <m/>
    <m/>
    <n v="125"/>
    <m/>
    <m/>
    <n v="125"/>
  </r>
  <r>
    <s v="Sep 1, 2022"/>
    <x v="43"/>
    <s v="Chris Ambler"/>
    <s v="TRIP CHARGE"/>
    <m/>
    <m/>
    <n v="40"/>
    <m/>
    <m/>
    <n v="40"/>
  </r>
  <r>
    <s v="Sep 1, 2022"/>
    <x v="44"/>
    <s v="Chris Ambler"/>
    <s v="SINGLE PLAY"/>
    <s v="CONNECTED HOME NETWORK"/>
    <m/>
    <n v="125"/>
    <n v="40"/>
    <m/>
    <n v="165"/>
  </r>
  <r>
    <s v="Sep 1, 2022"/>
    <x v="45"/>
    <s v="Remington Taylor"/>
    <s v="SINGLE PLAY MDU"/>
    <s v="CONNECTED HOME NETWORK"/>
    <m/>
    <n v="85"/>
    <n v="40"/>
    <m/>
    <n v="125"/>
  </r>
  <r>
    <s v="Sep 1, 2022"/>
    <x v="46"/>
    <s v="Remington Taylor"/>
    <s v="DOUBLE PLAY MDU"/>
    <s v="CONNECTED HOME NETWORK"/>
    <m/>
    <n v="105"/>
    <n v="40"/>
    <m/>
    <n v="145"/>
  </r>
  <r>
    <s v="Sep 1, 2022"/>
    <x v="47"/>
    <s v="Chris Ambler"/>
    <s v="DOUBLE PLAY"/>
    <s v="CONNECTED HOME NETWORK"/>
    <s v="DROP"/>
    <n v="155"/>
    <n v="40"/>
    <n v="30"/>
    <n v="225"/>
  </r>
  <r>
    <s v="Sep 1, 2022"/>
    <x v="48"/>
    <s v="Chris Ambler"/>
    <s v="EMTA CONVERSION INCLUDING SCHEDULING WITH THE CUSTOMER"/>
    <m/>
    <m/>
    <n v="85"/>
    <m/>
    <m/>
    <n v="85"/>
  </r>
  <r>
    <s v="Sep 1, 2022"/>
    <x v="49"/>
    <s v="Remington Taylor"/>
    <s v="SINGLE PLAY MDU"/>
    <s v="CONNECTED HOME NETWORK"/>
    <m/>
    <n v="105"/>
    <n v="40"/>
    <m/>
    <n v="145"/>
  </r>
  <r>
    <s v="Sep 1, 2022"/>
    <x v="50"/>
    <s v="Chris Ambler"/>
    <s v="TRIP CHARGE"/>
    <m/>
    <m/>
    <n v="40"/>
    <m/>
    <m/>
    <n v="40"/>
  </r>
  <r>
    <s v="Sep 1, 2022"/>
    <x v="51"/>
    <s v="Remington Taylor"/>
    <s v="TRIP CHARGE"/>
    <m/>
    <m/>
    <n v="40"/>
    <m/>
    <m/>
    <n v="40"/>
  </r>
  <r>
    <s v="Sep 1, 2022"/>
    <x v="52"/>
    <s v="Chris Ambler"/>
    <s v="SINGLE PLAY"/>
    <s v="NEW OUTLET INCLUDING BATTERY OUTLET/CAT 5"/>
    <m/>
    <n v="125"/>
    <n v="45"/>
    <m/>
    <n v="170"/>
  </r>
  <r>
    <s v="Sep 1, 2022"/>
    <x v="53"/>
    <s v="Remington Taylor"/>
    <s v="SINGLE PLAY"/>
    <s v="CONNECTED HOME NETWORK"/>
    <m/>
    <n v="125"/>
    <n v="40"/>
    <m/>
    <n v="165"/>
  </r>
  <r>
    <s v="Sep 1, 2022"/>
    <x v="54"/>
    <s v="Remington Taylor"/>
    <s v="SINGLE PLAY"/>
    <m/>
    <m/>
    <n v="125"/>
    <m/>
    <m/>
    <n v="125"/>
  </r>
  <r>
    <s v="Sep 1, 2022"/>
    <x v="55"/>
    <s v="Marcus Martin"/>
    <s v="TRIP CHARGE"/>
    <m/>
    <m/>
    <n v="40"/>
    <m/>
    <m/>
    <n v="40"/>
  </r>
  <r>
    <s v="Sep 1, 2022"/>
    <x v="56"/>
    <s v="Marcus Martin"/>
    <s v="TRIP CHARGE"/>
    <m/>
    <m/>
    <n v="40"/>
    <m/>
    <m/>
    <n v="40"/>
  </r>
  <r>
    <s v="Sep 1, 2022"/>
    <x v="57"/>
    <s v="Marcus Martin"/>
    <s v="SINGLE PLAY"/>
    <m/>
    <m/>
    <n v="125"/>
    <m/>
    <m/>
    <n v="125"/>
  </r>
  <r>
    <s v="Sep 1, 2022"/>
    <x v="58"/>
    <s v="Marcus Martin"/>
    <s v="SINGLE PLAY"/>
    <s v="NEW OUTLET INCLUDING BATTERY OUTLET/CAT 5"/>
    <s v="CONNECTED HOME NETWORK"/>
    <n v="125"/>
    <n v="90"/>
    <n v="40"/>
    <n v="255"/>
  </r>
  <r>
    <s v="Sep 1, 2022"/>
    <x v="59"/>
    <s v="Marcus Martin"/>
    <s v="TRIP CHARGE"/>
    <m/>
    <m/>
    <n v="40"/>
    <m/>
    <m/>
    <n v="40"/>
  </r>
  <r>
    <s v="Sep 1, 2022"/>
    <x v="60"/>
    <s v="Derrick Martin"/>
    <s v="SINGLE PLAY"/>
    <s v="CONNECTED HOME NETWORK"/>
    <m/>
    <n v="125"/>
    <n v="40"/>
    <m/>
    <n v="165"/>
  </r>
  <r>
    <s v="Sep 2, 2022"/>
    <x v="61"/>
    <s v="Remington Taylor"/>
    <s v="TRIP CHARGE"/>
    <m/>
    <m/>
    <n v="40"/>
    <m/>
    <m/>
    <n v="40"/>
  </r>
  <r>
    <s v="Sep 2, 2022"/>
    <x v="62"/>
    <s v="Remington Taylor"/>
    <s v="TRIPLE PLAY MDU"/>
    <s v="CONNECTED HOME NETWORK"/>
    <m/>
    <n v="125"/>
    <n v="40"/>
    <m/>
    <n v="165"/>
  </r>
  <r>
    <s v="Sep 2, 2022"/>
    <x v="63"/>
    <s v="Chris Ambler"/>
    <s v="DOUBLE PLAY MDU"/>
    <s v="CONNECTED HOME NETWORK"/>
    <m/>
    <n v="105"/>
    <n v="40"/>
    <m/>
    <n v="145"/>
  </r>
  <r>
    <s v="Sep 2, 2022"/>
    <x v="64"/>
    <s v="Chris Ambler"/>
    <s v="DOUBLE PLAY MDU"/>
    <m/>
    <m/>
    <n v="105"/>
    <m/>
    <m/>
    <n v="105"/>
  </r>
  <r>
    <s v="Sep 2, 2022"/>
    <x v="65"/>
    <s v="Remington Taylor"/>
    <s v="TRIP CHARGE"/>
    <m/>
    <m/>
    <n v="40"/>
    <m/>
    <m/>
    <n v="40"/>
  </r>
  <r>
    <s v="Sep 2, 2022"/>
    <x v="66"/>
    <s v="Chris Ambler"/>
    <s v="SINGLE PLAY MDU"/>
    <m/>
    <m/>
    <n v="85"/>
    <m/>
    <m/>
    <n v="85"/>
  </r>
  <r>
    <s v="Sep 2, 2022"/>
    <x v="67"/>
    <s v="Chris Ambler"/>
    <s v="SINGLE PLAY MDU"/>
    <m/>
    <m/>
    <n v="85"/>
    <m/>
    <m/>
    <n v="85"/>
  </r>
  <r>
    <s v="Sep 2, 2022"/>
    <x v="68"/>
    <s v="Chris Ambler"/>
    <s v="TRIPLE PLAY"/>
    <s v="CONNECTED HOME NETWORK"/>
    <m/>
    <n v="185"/>
    <n v="40"/>
    <m/>
    <n v="225"/>
  </r>
  <r>
    <s v="Sep 2, 2022"/>
    <x v="69"/>
    <s v="Remington Taylor"/>
    <s v="SINGLE PLAY"/>
    <m/>
    <m/>
    <n v="125"/>
    <m/>
    <m/>
    <n v="125"/>
  </r>
  <r>
    <s v="Sep 2, 2022"/>
    <x v="70"/>
    <s v="Remington Taylor"/>
    <s v="SINGLE PLAY MDU"/>
    <s v="CONNECTED HOME NETWORK"/>
    <m/>
    <n v="85"/>
    <n v="40"/>
    <m/>
    <n v="125"/>
  </r>
  <r>
    <s v="Sep 2, 2022"/>
    <x v="71"/>
    <s v="Chris Ambler"/>
    <s v="DOUBLE PLAY MDU"/>
    <s v="CONNECTED HOME NETWORK"/>
    <m/>
    <n v="105"/>
    <n v="40"/>
    <m/>
    <n v="145"/>
  </r>
  <r>
    <s v="Sep 2, 2022"/>
    <x v="72"/>
    <s v="Remington Taylor"/>
    <s v="SINGLE PLAY"/>
    <s v="NEW OUTLET INCLUDING BATTERY OUTLET/CAT 5"/>
    <m/>
    <n v="125"/>
    <n v="45"/>
    <m/>
    <n v="170"/>
  </r>
  <r>
    <s v="Sep 2, 2022"/>
    <x v="73"/>
    <s v="Chris Ambler"/>
    <s v="DOUBLE PLAY"/>
    <s v="CONNECTED HOME NETWORK"/>
    <m/>
    <n v="155"/>
    <n v="40"/>
    <m/>
    <n v="195"/>
  </r>
  <r>
    <s v="Sep 2, 2022"/>
    <x v="74"/>
    <s v="Remington Taylor"/>
    <s v="TRIP CHARGE"/>
    <m/>
    <m/>
    <n v="40"/>
    <m/>
    <m/>
    <n v="40"/>
  </r>
  <r>
    <s v="Sep 2, 2022"/>
    <x v="75"/>
    <s v="Marcus Martin"/>
    <s v="TRIPLE PLAY MDU"/>
    <s v="CONNECTED HOME NETWORK"/>
    <m/>
    <n v="125"/>
    <n v="40"/>
    <m/>
    <n v="165"/>
  </r>
  <r>
    <s v="Sep 2, 2022"/>
    <x v="76"/>
    <s v="Marcus Martin"/>
    <s v="SINGLE PLAY"/>
    <s v="CONNECTED HOME NETWORK"/>
    <s v="DROP"/>
    <n v="125"/>
    <n v="40"/>
    <n v="35"/>
    <n v="200"/>
  </r>
  <r>
    <s v="Sep 2, 2022"/>
    <x v="77"/>
    <s v="Marcus Martin"/>
    <s v="SINGLE PLAY"/>
    <s v="CONNECTED HOME NETWORK"/>
    <m/>
    <n v="125"/>
    <n v="40"/>
    <m/>
    <n v="165"/>
  </r>
  <r>
    <s v="Sep 2, 2022"/>
    <x v="78"/>
    <s v="Marcus Martin"/>
    <s v="SINGLE PLAY"/>
    <s v="CONNECTED HOME NETWORK"/>
    <m/>
    <n v="125"/>
    <n v="40"/>
    <m/>
    <n v="165"/>
  </r>
  <r>
    <s v="Sep 2, 2022"/>
    <x v="79"/>
    <s v="Marcus Martin"/>
    <s v="SINGLE PLAY"/>
    <s v="CONNECTED HOME NETWORK"/>
    <s v="NEW OUTLET INCLUDING BATTERY OUTLET/CAT 5"/>
    <n v="125"/>
    <n v="40"/>
    <n v="90"/>
    <n v="255"/>
  </r>
  <r>
    <s v="Sep 2, 2022"/>
    <x v="80"/>
    <s v="Marcus Martin"/>
    <s v="SINGLE PLAY"/>
    <s v="CONNECTED HOME NETWORK"/>
    <m/>
    <n v="125"/>
    <n v="40"/>
    <m/>
    <n v="165"/>
  </r>
  <r>
    <s v="Sep 2, 2022"/>
    <x v="81"/>
    <s v="Remington Taylor"/>
    <s v="TRIP CHARGE"/>
    <m/>
    <m/>
    <n v="40"/>
    <m/>
    <m/>
    <n v="40"/>
  </r>
  <r>
    <s v="Sep 2, 2022"/>
    <x v="82"/>
    <s v="Derrick Martin"/>
    <s v="SINGLE PLAY"/>
    <m/>
    <m/>
    <n v="125"/>
    <m/>
    <m/>
    <n v="125"/>
  </r>
  <r>
    <s v="Sep 2, 2022"/>
    <x v="83"/>
    <s v="Derrick Martin"/>
    <s v="SINGLE PLAY MDU"/>
    <s v="CONNECTED HOME NETWORK"/>
    <m/>
    <n v="85"/>
    <n v="40"/>
    <m/>
    <n v="125"/>
  </r>
  <r>
    <s v="Sep 3, 2022"/>
    <x v="84"/>
    <s v="Chris Ambler"/>
    <s v="SINGLE PLAY MDU"/>
    <m/>
    <m/>
    <n v="85"/>
    <m/>
    <m/>
    <n v="85"/>
  </r>
  <r>
    <s v="Sep 3, 2022"/>
    <x v="85"/>
    <s v="Chris Ambler"/>
    <s v="SINGLE PLAY"/>
    <m/>
    <m/>
    <n v="125"/>
    <m/>
    <m/>
    <n v="125"/>
  </r>
  <r>
    <s v="Sep 3, 2022"/>
    <x v="86"/>
    <s v="Chris Ambler"/>
    <s v="SINGLE PLAY"/>
    <s v="CONNECTED HOME NETWORK"/>
    <m/>
    <n v="125"/>
    <n v="40"/>
    <m/>
    <n v="165"/>
  </r>
  <r>
    <s v="Sep 3, 2022"/>
    <x v="87"/>
    <s v="Chris Ambler"/>
    <s v="TRIP CHARGE"/>
    <m/>
    <m/>
    <n v="40"/>
    <m/>
    <m/>
    <n v="40"/>
  </r>
  <r>
    <s v="Sep 3, 2022"/>
    <x v="88"/>
    <s v="Chris Ambler"/>
    <s v="SINGLE PLAY"/>
    <s v="CONNECTED HOME NETWORK"/>
    <s v="NEW OUTLET INCLUDING BATTERY OUTLET/CAT 5"/>
    <n v="125"/>
    <n v="40"/>
    <m/>
    <n v="165"/>
  </r>
  <r>
    <s v="Sep 3, 2022"/>
    <x v="89"/>
    <s v="Chris Ambler"/>
    <s v="TRIPLE PLAY"/>
    <s v="CONNECTED HOME NETWORK"/>
    <m/>
    <n v="185"/>
    <n v="40"/>
    <m/>
    <n v="225"/>
  </r>
  <r>
    <s v="Sep 3, 2022"/>
    <x v="90"/>
    <s v="Derrick Martin"/>
    <s v="SINGLE PLAY"/>
    <s v="CONNECTED HOME NETWORK"/>
    <m/>
    <n v="125"/>
    <n v="40"/>
    <m/>
    <n v="165"/>
  </r>
  <r>
    <s v="Sep 3, 2022"/>
    <x v="91"/>
    <s v="Derrick Martin"/>
    <s v="SINGLE PLAY MDU"/>
    <m/>
    <m/>
    <n v="85"/>
    <m/>
    <m/>
    <n v="85"/>
  </r>
  <r>
    <s v="Sep 3, 2022"/>
    <x v="92"/>
    <s v="Derrick Martin"/>
    <s v="SINGLE PLAY"/>
    <m/>
    <m/>
    <n v="125"/>
    <m/>
    <m/>
    <n v="125"/>
  </r>
  <r>
    <s v="Sep 3, 2022"/>
    <x v="93"/>
    <s v="Derrick Martin"/>
    <s v="SINGLE PLAY MDU"/>
    <m/>
    <m/>
    <n v="85"/>
    <m/>
    <m/>
    <n v="85"/>
  </r>
  <r>
    <s v="Sep 3, 2022"/>
    <x v="94"/>
    <s v="Derrick Martin"/>
    <s v="SINGLE PLAY"/>
    <s v="CONNECTED HOME NETWORK"/>
    <m/>
    <n v="125"/>
    <n v="40"/>
    <m/>
    <n v="165"/>
  </r>
  <r>
    <s v="Sep 3, 2022"/>
    <x v="95"/>
    <s v="Derrick Martin"/>
    <s v="SINGLE PLAY MDU"/>
    <s v="CONNECTED HOME NETWORK"/>
    <m/>
    <n v="85"/>
    <n v="40"/>
    <m/>
    <n v="125"/>
  </r>
  <r>
    <s v="Sep 3, 2022"/>
    <x v="96"/>
    <s v="Marcus Martin"/>
    <s v="TRIPLE PLAY MDU"/>
    <m/>
    <m/>
    <n v="125"/>
    <m/>
    <m/>
    <n v="125"/>
  </r>
  <r>
    <s v="Sep 3, 2022"/>
    <x v="97"/>
    <s v="Marcus Martin"/>
    <s v="DOUBLE PLAY MDU"/>
    <s v="CONNECTED HOME NETWORK"/>
    <m/>
    <n v="105"/>
    <n v="40"/>
    <m/>
    <n v="145"/>
  </r>
  <r>
    <s v="Sep 3, 2022"/>
    <x v="98"/>
    <s v="Marcus Martin"/>
    <s v="SINGLE PLAY"/>
    <s v="NEW OUTLET INCLUDING BATTERY OUTLET/CAT 5"/>
    <s v="CONNECTED HOME NETWORK"/>
    <n v="125"/>
    <n v="90"/>
    <n v="40"/>
    <n v="255"/>
  </r>
  <r>
    <s v="Sep 3, 2022"/>
    <x v="99"/>
    <s v="Marcus Martin"/>
    <s v="SINGLE PLAY"/>
    <s v="CONNECTED HOME NETWORK"/>
    <m/>
    <n v="125"/>
    <n v="40"/>
    <m/>
    <n v="165"/>
  </r>
  <r>
    <s v="Sep 3, 2022"/>
    <x v="100"/>
    <s v="Marcus Martin"/>
    <s v="SINGLE PLAY"/>
    <s v="NEW OUTLET INCLUDING BATTERY OUTLET/CAT 5"/>
    <s v="CONNECTED HOME NETWORK"/>
    <n v="125"/>
    <n v="90"/>
    <n v="40"/>
    <n v="25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Sep 6, 2022"/>
    <x v="0"/>
    <s v="kevin Jackson"/>
    <s v="SINGLE PLAY"/>
    <m/>
    <m/>
    <n v="125"/>
    <m/>
    <m/>
    <n v="125"/>
  </r>
  <r>
    <s v="Sep 6, 2022"/>
    <x v="1"/>
    <s v="Chris Ambler"/>
    <s v="SINGLE PLAY"/>
    <s v="CONNECTED HOME NETWORK"/>
    <m/>
    <n v="125"/>
    <n v="40"/>
    <m/>
    <n v="165"/>
  </r>
  <r>
    <s v="Sep 6, 2022"/>
    <x v="2"/>
    <s v="kevin Jackson"/>
    <s v="SINGLE PLAY"/>
    <s v="CONNECTED HOME NETWORK"/>
    <m/>
    <n v="125"/>
    <n v="40"/>
    <m/>
    <n v="165"/>
  </r>
  <r>
    <s v="Sep 6, 2022"/>
    <x v="3"/>
    <s v="Remington Taylor"/>
    <s v="SINGLE PLAY"/>
    <s v="CONNECTED HOME NETWORK"/>
    <m/>
    <n v="125"/>
    <n v="40"/>
    <m/>
    <n v="165"/>
  </r>
  <r>
    <s v="Sep 6, 2022"/>
    <x v="4"/>
    <s v="Chris Ambler"/>
    <s v="DOUBLE PLAY MDU"/>
    <s v="CONNECTED HOME NETWORK"/>
    <m/>
    <n v="105"/>
    <n v="40"/>
    <m/>
    <n v="145"/>
  </r>
  <r>
    <s v="Sep 6, 2022"/>
    <x v="5"/>
    <s v="Chris Ambler"/>
    <s v="DOUBLE PLAY MDU"/>
    <s v="CONNECTED HOME NETWORK"/>
    <m/>
    <n v="105"/>
    <n v="40"/>
    <m/>
    <n v="145"/>
  </r>
  <r>
    <s v="Sep 6, 2022"/>
    <x v="6"/>
    <s v="Chris Ambler"/>
    <s v="SINGLE PLAY MDU"/>
    <m/>
    <m/>
    <n v="85"/>
    <m/>
    <m/>
    <n v="85"/>
  </r>
  <r>
    <s v="Sep 6, 2022"/>
    <x v="7"/>
    <s v="kevin Jackson"/>
    <s v="SINGLE PLAY"/>
    <m/>
    <m/>
    <n v="125"/>
    <m/>
    <m/>
    <n v="125"/>
  </r>
  <r>
    <s v="Sep 6, 2022"/>
    <x v="8"/>
    <s v="Chris Ambler"/>
    <s v="DOUBLE PLAY MDU"/>
    <s v="CONNECTED HOME NETWORK"/>
    <m/>
    <n v="105"/>
    <n v="40"/>
    <m/>
    <n v="145"/>
  </r>
  <r>
    <s v="Sep 6, 2022"/>
    <x v="9"/>
    <s v="Remington Taylor"/>
    <s v="SINGLE PLAY"/>
    <s v="CONNECTED HOME NETWORK"/>
    <m/>
    <n v="125"/>
    <n v="40"/>
    <m/>
    <n v="165"/>
  </r>
  <r>
    <s v="Sep 6, 2022"/>
    <x v="10"/>
    <s v="Chris Ambler"/>
    <s v="SINGLE PLAY MDU"/>
    <m/>
    <m/>
    <n v="85"/>
    <m/>
    <m/>
    <n v="85"/>
  </r>
  <r>
    <s v="Sep 6, 2022"/>
    <x v="11"/>
    <s v="kevin Jackson"/>
    <s v="SINGLE PLAY"/>
    <m/>
    <m/>
    <n v="125"/>
    <m/>
    <m/>
    <n v="125"/>
  </r>
  <r>
    <s v="Sep 6, 2022"/>
    <x v="12"/>
    <s v="Remington Taylor"/>
    <s v="TRIP CHARGE"/>
    <m/>
    <m/>
    <n v="40"/>
    <m/>
    <m/>
    <n v="40"/>
  </r>
  <r>
    <s v="Sep 6, 2022"/>
    <x v="13"/>
    <s v="Chris Ambler"/>
    <s v="TRIPLE PLAY MDU"/>
    <s v="CONNECTED HOME NETWORK"/>
    <m/>
    <n v="125"/>
    <n v="40"/>
    <m/>
    <n v="165"/>
  </r>
  <r>
    <s v="Sep 6, 2022"/>
    <x v="14"/>
    <s v="Remington Taylor"/>
    <s v="DOUBLE PLAY MDU"/>
    <s v="CONNECTED HOME NETWORK"/>
    <m/>
    <n v="105"/>
    <n v="40"/>
    <m/>
    <n v="145"/>
  </r>
  <r>
    <s v="Sep 6, 2022"/>
    <x v="15"/>
    <s v="kevin Jackson"/>
    <s v="SINGLE PLAY"/>
    <s v="NEW OUTLET INCLUDING BATTERY OUTLET/CAT 5"/>
    <m/>
    <n v="125"/>
    <n v="45"/>
    <m/>
    <n v="170"/>
  </r>
  <r>
    <s v="Sep 6, 2022"/>
    <x v="16"/>
    <s v="Chris Ambler"/>
    <s v="SINGLE PLAY MDU"/>
    <m/>
    <m/>
    <n v="85"/>
    <m/>
    <m/>
    <n v="85"/>
  </r>
  <r>
    <s v="Sep 6, 2022"/>
    <x v="17"/>
    <s v="Chris Ambler"/>
    <s v="SINGLE PLAY"/>
    <s v="CONNECTED HOME NETWORK"/>
    <m/>
    <n v="125"/>
    <n v="40"/>
    <m/>
    <n v="165"/>
  </r>
  <r>
    <s v="Sep 6, 2022"/>
    <x v="18"/>
    <s v="Remington Taylor"/>
    <s v="SINGLE PLAY"/>
    <s v="CONNECTED HOME NETWORK"/>
    <m/>
    <n v="125"/>
    <n v="40"/>
    <m/>
    <n v="165"/>
  </r>
  <r>
    <s v="Sep 6, 2022"/>
    <x v="19"/>
    <s v="Remington Taylor"/>
    <s v="SINGLE PLAY"/>
    <m/>
    <m/>
    <n v="125"/>
    <m/>
    <m/>
    <n v="125"/>
  </r>
  <r>
    <s v="Sep 6, 2022"/>
    <x v="20"/>
    <s v="Chris Ambler"/>
    <s v="SINGLE PLAY"/>
    <s v="CONNECTED HOME NETWORK"/>
    <m/>
    <n v="125"/>
    <n v="40"/>
    <m/>
    <n v="165"/>
  </r>
  <r>
    <s v="Sep 6, 2022"/>
    <x v="21"/>
    <s v="Remington Taylor"/>
    <s v="SINGLE PLAY"/>
    <s v="CONNECTED HOME NETWORK"/>
    <m/>
    <n v="125"/>
    <n v="40"/>
    <m/>
    <n v="165"/>
  </r>
  <r>
    <s v="Sep 6, 2022"/>
    <x v="22"/>
    <s v="Chris Ambler"/>
    <s v="SINGLE PLAY MDU"/>
    <m/>
    <m/>
    <n v="85"/>
    <m/>
    <m/>
    <n v="85"/>
  </r>
  <r>
    <s v="Sep 6, 2022"/>
    <x v="23"/>
    <s v="Derrick Martin"/>
    <s v="SINGLE PLAY MDU"/>
    <m/>
    <m/>
    <n v="85"/>
    <m/>
    <m/>
    <n v="85"/>
  </r>
  <r>
    <s v="Sep 6, 2022"/>
    <x v="24"/>
    <s v="Derrick Martin"/>
    <s v="SINGLE PLAY MDU"/>
    <m/>
    <m/>
    <n v="85"/>
    <m/>
    <m/>
    <n v="85"/>
  </r>
  <r>
    <s v="Sep 6, 2022"/>
    <x v="25"/>
    <s v="Derrick Martin"/>
    <s v="SINGLE PLAY"/>
    <m/>
    <m/>
    <n v="125"/>
    <m/>
    <m/>
    <n v="125"/>
  </r>
  <r>
    <s v="Sep 6, 2022"/>
    <x v="26"/>
    <s v="Marcus Martin"/>
    <s v="SINGLE PLAY"/>
    <s v="CONNECTED HOME NETWORK"/>
    <m/>
    <n v="125"/>
    <n v="40"/>
    <m/>
    <n v="165"/>
  </r>
  <r>
    <s v="Sep 6, 2022"/>
    <x v="27"/>
    <s v="Marcus Martin"/>
    <s v="TRIP CHARGE"/>
    <m/>
    <m/>
    <n v="40"/>
    <m/>
    <m/>
    <n v="40"/>
  </r>
  <r>
    <s v="Sep 6, 2022"/>
    <x v="28"/>
    <s v="Marcus Martin"/>
    <s v="SINGLE PLAY"/>
    <s v="NEW OUTLET INCLUDING BATTERY OUTLET/CAT 5"/>
    <s v="CONNECTED HOME NETWORK/DROPP"/>
    <n v="125"/>
    <n v="90"/>
    <n v="75"/>
    <n v="290"/>
  </r>
  <r>
    <s v="Sep 6, 2022"/>
    <x v="29"/>
    <s v="Marcus Martin"/>
    <s v="TRIP CHARGE"/>
    <m/>
    <m/>
    <n v="40"/>
    <m/>
    <m/>
    <n v="40"/>
  </r>
  <r>
    <s v="Sep 6, 2022"/>
    <x v="30"/>
    <s v="Marcus Martin"/>
    <s v="DOUBLE PLAY MDU"/>
    <m/>
    <m/>
    <n v="105"/>
    <m/>
    <m/>
    <n v="105"/>
  </r>
  <r>
    <s v="Sep 6, 2022"/>
    <x v="31"/>
    <s v="Marcus Martin"/>
    <s v="TRIP CHARGE"/>
    <m/>
    <m/>
    <n v="40"/>
    <m/>
    <m/>
    <n v="40"/>
  </r>
  <r>
    <s v="Sep 7, 2022"/>
    <x v="32"/>
    <s v="Remington Taylor"/>
    <s v="SINGLE PLAY MDU"/>
    <m/>
    <m/>
    <n v="85"/>
    <m/>
    <m/>
    <n v="85"/>
  </r>
  <r>
    <s v="Sep 7, 2022"/>
    <x v="33"/>
    <s v="Chris Ambler"/>
    <s v="SINGLE PLAY MDU"/>
    <m/>
    <m/>
    <n v="85"/>
    <m/>
    <m/>
    <n v="85"/>
  </r>
  <r>
    <s v="Sep 7, 2022"/>
    <x v="34"/>
    <s v="Chris Ambler"/>
    <s v="SINGLE PLAY MDU"/>
    <m/>
    <m/>
    <n v="85"/>
    <m/>
    <m/>
    <n v="85"/>
  </r>
  <r>
    <s v="Sep 7, 2022"/>
    <x v="31"/>
    <s v="Remington Taylor"/>
    <s v="DOUBLE PLAY MDU"/>
    <s v="CONNECTED HOME NETWORK"/>
    <m/>
    <n v="105"/>
    <n v="40"/>
    <m/>
    <n v="145"/>
  </r>
  <r>
    <s v="Sep 7, 2022"/>
    <x v="35"/>
    <s v="Chris Ambler"/>
    <s v="SINGLE PLAY MDU"/>
    <s v="CONNECTED HOME NETWORK"/>
    <m/>
    <n v="85"/>
    <n v="40"/>
    <m/>
    <n v="125"/>
  </r>
  <r>
    <s v="Sep 7, 2022"/>
    <x v="5"/>
    <s v="Chris Ambler"/>
    <s v="SINGLE PLAY"/>
    <s v="NEW OUTLET INCLUDING BATTERY OUTLET/CAT 5"/>
    <s v="CONNECTED HOME NETWORK"/>
    <n v="125"/>
    <n v="45"/>
    <m/>
    <n v="170"/>
  </r>
  <r>
    <s v="Sep 7, 2022"/>
    <x v="36"/>
    <s v="Chris Ambler"/>
    <s v="SINGLE PLAY"/>
    <s v="NEW OUTLET INCLUDING BATTERY OUTLET/CAT 5"/>
    <s v="CONNECTED HOME NETWORK"/>
    <n v="125"/>
    <n v="45"/>
    <m/>
    <n v="170"/>
  </r>
  <r>
    <s v="Sep 7, 2022"/>
    <x v="37"/>
    <s v="Remington Taylor"/>
    <s v="TRIP CHARGE"/>
    <m/>
    <m/>
    <n v="40"/>
    <m/>
    <m/>
    <n v="40"/>
  </r>
  <r>
    <s v="Sep 7, 2022"/>
    <x v="38"/>
    <s v="kevin Jackson"/>
    <s v="SINGLE PLAY MDU"/>
    <m/>
    <m/>
    <n v="85"/>
    <m/>
    <m/>
    <n v="85"/>
  </r>
  <r>
    <s v="Sep 7, 2022"/>
    <x v="39"/>
    <s v="Remington Taylor"/>
    <s v="DOUBLE PLAY MDU"/>
    <s v="CONNECTED HOME NETWORK"/>
    <m/>
    <n v="105"/>
    <n v="40"/>
    <m/>
    <n v="145"/>
  </r>
  <r>
    <s v="Sep 7, 2022"/>
    <x v="40"/>
    <s v="kevin Jackson"/>
    <s v="TRIP CHARGE"/>
    <s v="CONNECTED HOME NETWORK"/>
    <m/>
    <n v="40"/>
    <n v="40"/>
    <m/>
    <n v="80"/>
  </r>
  <r>
    <s v="Sep 7, 2022"/>
    <x v="41"/>
    <s v="Chris Ambler"/>
    <s v="SINGLE PLAY MDU"/>
    <s v="CONNECTED HOME NETWORK"/>
    <m/>
    <n v="85"/>
    <n v="40"/>
    <m/>
    <n v="125"/>
  </r>
  <r>
    <s v="Sep 7, 2022"/>
    <x v="42"/>
    <s v="kevin Jackson"/>
    <s v="SINGLE PLAY"/>
    <s v="CONNECTED HOME NETWORK"/>
    <m/>
    <n v="125"/>
    <n v="40"/>
    <m/>
    <n v="165"/>
  </r>
  <r>
    <s v="Sep 7, 2022"/>
    <x v="43"/>
    <s v="Marcus Martin"/>
    <s v="SINGLE PLAY"/>
    <s v="CONNECTED HOME NETWORK"/>
    <m/>
    <n v="125"/>
    <n v="40"/>
    <m/>
    <n v="165"/>
  </r>
  <r>
    <s v="Sep 8, 2022"/>
    <x v="44"/>
    <s v="Chris Ambler"/>
    <s v="TRIPLE PLAY"/>
    <m/>
    <m/>
    <n v="185"/>
    <m/>
    <m/>
    <n v="185"/>
  </r>
  <r>
    <s v="Sep 8, 2022"/>
    <x v="45"/>
    <s v="kevin Jackson"/>
    <s v="DOUBLE PLAY MDU"/>
    <m/>
    <m/>
    <n v="105"/>
    <m/>
    <m/>
    <n v="105"/>
  </r>
  <r>
    <s v="Sep 8, 2022"/>
    <x v="46"/>
    <s v="Chris Ambler"/>
    <s v="SINGLE PLAY MDU"/>
    <m/>
    <m/>
    <n v="85"/>
    <m/>
    <m/>
    <n v="85"/>
  </r>
  <r>
    <s v="Sep 8, 2022"/>
    <x v="47"/>
    <s v="Chris Ambler"/>
    <s v="SINGLE PLAY MDU"/>
    <m/>
    <m/>
    <n v="85"/>
    <m/>
    <m/>
    <n v="85"/>
  </r>
  <r>
    <s v="Sep 8, 2022"/>
    <x v="48"/>
    <s v="kevin Jackson"/>
    <s v="DOUBLE PLAY"/>
    <s v="CONNECTED HOME NETWORK"/>
    <m/>
    <n v="155"/>
    <n v="40"/>
    <m/>
    <n v="195"/>
  </r>
  <r>
    <s v="Sep 8, 2022"/>
    <x v="49"/>
    <s v="Remington Taylor"/>
    <s v="SINGLE PLAY"/>
    <m/>
    <m/>
    <n v="125"/>
    <m/>
    <m/>
    <n v="125"/>
  </r>
  <r>
    <s v="Sep 8, 2022"/>
    <x v="50"/>
    <s v="kevin Jackson"/>
    <s v="DOUBLE PLAY MDU"/>
    <s v="CONNECTED HOME NETWORK"/>
    <m/>
    <n v="105"/>
    <n v="40"/>
    <m/>
    <n v="145"/>
  </r>
  <r>
    <s v="Sep 8, 2022"/>
    <x v="51"/>
    <s v="Remington Taylor"/>
    <s v="SINGLE PLAY MDU"/>
    <m/>
    <m/>
    <n v="85"/>
    <m/>
    <m/>
    <n v="85"/>
  </r>
  <r>
    <s v="Sep 8, 2022"/>
    <x v="52"/>
    <s v="Chris Ambler"/>
    <s v="DOUBLE PLAY MDU"/>
    <s v="CONNECTED HOME NETWORK"/>
    <m/>
    <n v="105"/>
    <n v="40"/>
    <m/>
    <n v="145"/>
  </r>
  <r>
    <s v="Sep 8, 2022"/>
    <x v="53"/>
    <s v="Remington Taylor"/>
    <s v="SINGLE PLAY"/>
    <s v="CONNECTED HOME NETWORK"/>
    <m/>
    <n v="125"/>
    <n v="40"/>
    <m/>
    <n v="165"/>
  </r>
  <r>
    <s v="Sep 8, 2022"/>
    <x v="54"/>
    <s v="Remington Taylor"/>
    <s v="SINGLE PLAY MDU"/>
    <s v="CONNECTED HOME NETWORK"/>
    <m/>
    <n v="85"/>
    <n v="40"/>
    <m/>
    <n v="125"/>
  </r>
  <r>
    <s v="Sep 8, 2022"/>
    <x v="55"/>
    <s v="kevin Jackson"/>
    <s v="SINGLE PLAY"/>
    <s v="NEW OUTLET"/>
    <s v="WALL-FISH"/>
    <n v="125"/>
    <n v="45"/>
    <n v="65"/>
    <n v="235"/>
  </r>
  <r>
    <s v="Sep 8, 2022"/>
    <x v="56"/>
    <s v="Chris Ambler"/>
    <s v="SINGLE PLAY"/>
    <s v="CONNECTED HOME NETWORK"/>
    <m/>
    <n v="125"/>
    <n v="40"/>
    <m/>
    <n v="165"/>
  </r>
  <r>
    <s v="Sep 8, 2022"/>
    <x v="57"/>
    <s v="Remington Taylor"/>
    <s v="SINGLE PLAY"/>
    <m/>
    <m/>
    <n v="125"/>
    <m/>
    <m/>
    <n v="125"/>
  </r>
  <r>
    <s v="Sep 8, 2022"/>
    <x v="58"/>
    <s v="Remington Taylor"/>
    <s v="SINGLE PLAY"/>
    <m/>
    <m/>
    <n v="125"/>
    <m/>
    <m/>
    <n v="125"/>
  </r>
  <r>
    <s v="Sep 9, 2022"/>
    <x v="59"/>
    <s v="Chris Ambler"/>
    <s v="TRIPLE PLAY MDU"/>
    <s v="CONNECTED HOME NETWORK"/>
    <m/>
    <n v="125"/>
    <n v="40"/>
    <m/>
    <n v="165"/>
  </r>
  <r>
    <s v="Sep 9, 2022"/>
    <x v="60"/>
    <s v="Chris Ambler"/>
    <s v="TRIPLE PLAY"/>
    <s v="CONNECTED HOME NETWORK"/>
    <m/>
    <n v="185"/>
    <n v="40"/>
    <m/>
    <n v="225"/>
  </r>
  <r>
    <s v="Sep 9, 2022"/>
    <x v="61"/>
    <s v="Chris Ambler"/>
    <s v="SINGLE PLAY MDU"/>
    <m/>
    <m/>
    <n v="85"/>
    <m/>
    <m/>
    <n v="85"/>
  </r>
  <r>
    <s v="Sep 9, 2022"/>
    <x v="62"/>
    <s v="kevin Jackson"/>
    <s v="SINGLE PLAY"/>
    <s v="CONNECTED HOME NETWORK"/>
    <s v="NEW OUTLET INCLUDING BATTERY OUTLET/CAT 5"/>
    <n v="125"/>
    <n v="40"/>
    <n v="90"/>
    <n v="255"/>
  </r>
  <r>
    <s v="Sep 9, 2022"/>
    <x v="63"/>
    <s v="Chris Ambler"/>
    <s v="TRIPLE PLAY"/>
    <m/>
    <m/>
    <n v="185"/>
    <m/>
    <m/>
    <n v="185"/>
  </r>
  <r>
    <s v="Sep 9, 2022"/>
    <x v="64"/>
    <s v="Chris Ambler"/>
    <s v="SINGLE PLAY MDU"/>
    <m/>
    <m/>
    <n v="85"/>
    <m/>
    <m/>
    <n v="85"/>
  </r>
  <r>
    <s v="Sep 9, 2022"/>
    <x v="65"/>
    <s v="Chris Ambler"/>
    <s v="DOUBLE PLAY MDU"/>
    <s v="CONNECTED HOME NETWORK"/>
    <m/>
    <n v="5"/>
    <n v="40"/>
    <m/>
    <n v="45"/>
  </r>
  <r>
    <s v="Sep 9, 2022"/>
    <x v="66"/>
    <s v="Chris Ambler"/>
    <s v="SINGLE PLAY MDU"/>
    <m/>
    <m/>
    <n v="85"/>
    <m/>
    <m/>
    <n v="85"/>
  </r>
  <r>
    <s v="Sep 9, 2022"/>
    <x v="67"/>
    <s v="Chris Ambler"/>
    <s v="SINGLE PLAY"/>
    <s v="CONNECTED HOME NETWORK"/>
    <m/>
    <n v="125"/>
    <n v="40"/>
    <m/>
    <n v="165"/>
  </r>
  <r>
    <s v="Sep 9, 2022"/>
    <x v="68"/>
    <s v="kevin Jackson"/>
    <s v="DOUBLE PLAY"/>
    <s v="CONNECTED HOME NETWORK"/>
    <m/>
    <n v="150"/>
    <n v="40"/>
    <m/>
    <n v="190"/>
  </r>
  <r>
    <s v="Sep 9, 2022"/>
    <x v="69"/>
    <s v="Chris Ambler"/>
    <s v="SINGLE PLAY MDU"/>
    <s v="CONNECTED HOME NETWORK"/>
    <m/>
    <n v="85"/>
    <n v="40"/>
    <m/>
    <n v="125"/>
  </r>
  <r>
    <s v="Sep 9, 2022"/>
    <x v="70"/>
    <s v="kevin Jackson"/>
    <s v="SINGLE PLAY"/>
    <s v="CONNECTED HOME NETWORK"/>
    <m/>
    <n v="125"/>
    <n v="40"/>
    <m/>
    <n v="165"/>
  </r>
  <r>
    <s v="Sep 9, 2022"/>
    <x v="71"/>
    <s v="Marcus Martin"/>
    <s v="SINGLE PLAY"/>
    <s v="CONNECTED HOME NETWORK"/>
    <s v="NEW OUTLET INCLUDING BATTERY OUTLET/CAT 5"/>
    <n v="125"/>
    <n v="40"/>
    <n v="45"/>
    <n v="210"/>
  </r>
  <r>
    <s v="Sep 9, 2022"/>
    <x v="72"/>
    <s v="Marcus Martin"/>
    <s v="SINGLE PLAY"/>
    <m/>
    <m/>
    <n v="125"/>
    <m/>
    <m/>
    <n v="125"/>
  </r>
  <r>
    <s v="Sep 9, 2022"/>
    <x v="73"/>
    <s v="Marcus Martin"/>
    <s v="TRIPLE PLAY MDU"/>
    <s v="CONNECTED HOME NETWORK"/>
    <m/>
    <n v="125"/>
    <n v="40"/>
    <m/>
    <n v="165"/>
  </r>
  <r>
    <s v="Sep 9, 2022"/>
    <x v="74"/>
    <s v="Marcus Martin"/>
    <s v="SINGLE PLAY"/>
    <m/>
    <m/>
    <n v="125"/>
    <m/>
    <m/>
    <n v="125"/>
  </r>
  <r>
    <s v="Sep 9, 2022"/>
    <x v="75"/>
    <s v="Derrick Martin"/>
    <s v="SINGLE PLAY"/>
    <s v="CONNECTED HOME NETWORK"/>
    <m/>
    <n v="125"/>
    <n v="40"/>
    <m/>
    <n v="165"/>
  </r>
  <r>
    <s v="Sep 9, 2022"/>
    <x v="76"/>
    <s v="Derrick Martin"/>
    <s v="SINGLE PLAY MDU"/>
    <s v="CONNECTED HOME NETWORK"/>
    <m/>
    <n v="85"/>
    <n v="40"/>
    <m/>
    <n v="125"/>
  </r>
  <r>
    <s v="Sep 10, 2022"/>
    <x v="77"/>
    <s v="kevin Jackson"/>
    <s v="SINGLE PLAY"/>
    <s v="CONNECTED HOME NETWORK"/>
    <m/>
    <n v="125"/>
    <n v="40"/>
    <m/>
    <n v="165"/>
  </r>
  <r>
    <s v="Sep 10, 2022"/>
    <x v="78"/>
    <s v="kevin Jackson"/>
    <s v="SINGLE PLAY"/>
    <s v="CONNECTED HOME NETWORK"/>
    <m/>
    <n v="125"/>
    <n v="40"/>
    <m/>
    <n v="165"/>
  </r>
  <r>
    <s v="Sep 10, 2022"/>
    <x v="79"/>
    <s v="kevin Jackson"/>
    <s v="SINGLE PLAY"/>
    <s v="CONNECTED HOME NETWORK"/>
    <m/>
    <n v="125"/>
    <n v="40"/>
    <m/>
    <n v="165"/>
  </r>
  <r>
    <s v="Sep 10, 2022"/>
    <x v="12"/>
    <s v="Chris Ambler"/>
    <s v="SINGLE PLAY MDU"/>
    <m/>
    <m/>
    <n v="85"/>
    <m/>
    <m/>
    <n v="85"/>
  </r>
  <r>
    <s v="Sep 10, 2022"/>
    <x v="80"/>
    <s v="Chris Ambler"/>
    <s v="SINGLE PLAY"/>
    <s v="CONNECTED HOME NETWORK"/>
    <m/>
    <n v="125"/>
    <n v="40"/>
    <m/>
    <n v="165"/>
  </r>
  <r>
    <s v="Sep 10, 2022"/>
    <x v="81"/>
    <s v="Chris Ambler"/>
    <s v="SINGLE PLAY MDU"/>
    <s v="CONNECTED HOME NETWORK"/>
    <m/>
    <n v="85"/>
    <n v="40"/>
    <m/>
    <n v="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75AF0-2B20-4D3E-8798-BC1CA1F86E82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59" firstHeaderRow="0" firstDataRow="1" firstDataCol="1"/>
  <pivotFields count="10">
    <pivotField showAll="0"/>
    <pivotField axis="axisRow" showAll="0">
      <items count="54">
        <item m="1" x="52"/>
        <item x="50"/>
        <item x="33"/>
        <item x="7"/>
        <item x="18"/>
        <item x="39"/>
        <item x="45"/>
        <item x="30"/>
        <item x="20"/>
        <item x="51"/>
        <item x="48"/>
        <item x="11"/>
        <item x="47"/>
        <item x="9"/>
        <item x="8"/>
        <item x="19"/>
        <item x="3"/>
        <item x="6"/>
        <item x="12"/>
        <item x="31"/>
        <item x="26"/>
        <item x="42"/>
        <item x="21"/>
        <item x="23"/>
        <item x="13"/>
        <item x="37"/>
        <item x="22"/>
        <item x="14"/>
        <item x="34"/>
        <item x="1"/>
        <item x="29"/>
        <item x="35"/>
        <item x="36"/>
        <item x="24"/>
        <item x="25"/>
        <item x="40"/>
        <item x="10"/>
        <item x="15"/>
        <item x="2"/>
        <item x="5"/>
        <item x="4"/>
        <item x="0"/>
        <item x="44"/>
        <item x="27"/>
        <item x="28"/>
        <item x="16"/>
        <item x="32"/>
        <item x="43"/>
        <item x="17"/>
        <item x="38"/>
        <item x="49"/>
        <item x="41"/>
        <item x="46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showAll="0"/>
  </pivotFields>
  <rowFields count="1">
    <field x="1"/>
  </rowFields>
  <rowItems count="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321">
      <pivotArea type="all" dataOnly="0" outline="0" fieldPosition="0"/>
    </format>
    <format dxfId="320">
      <pivotArea outline="0" collapsedLevelsAreSubtotals="1" fieldPosition="0"/>
    </format>
    <format dxfId="319">
      <pivotArea field="1" type="button" dataOnly="0" labelOnly="1" outline="0" axis="axisRow" fieldPosition="0"/>
    </format>
    <format dxfId="318">
      <pivotArea dataOnly="0" labelOnly="1" fieldPosition="0">
        <references count="1">
          <reference field="1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317">
      <pivotArea dataOnly="0" labelOnly="1" fieldPosition="0">
        <references count="1">
          <reference field="1" count="2">
            <x v="51"/>
            <x v="52"/>
          </reference>
        </references>
      </pivotArea>
    </format>
    <format dxfId="316">
      <pivotArea dataOnly="0" labelOnly="1" grandRow="1" outline="0" fieldPosition="0"/>
    </format>
    <format dxfId="3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BA0F2-BBAC-4854-AECD-84DBC866639F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2" firstHeaderRow="0" firstDataRow="1" firstDataCol="1"/>
  <pivotFields count="10">
    <pivotField showAll="0"/>
    <pivotField axis="axisRow" showAll="0">
      <items count="96">
        <item x="10"/>
        <item x="11"/>
        <item x="9"/>
        <item x="8"/>
        <item x="7"/>
        <item x="34"/>
        <item x="3"/>
        <item x="87"/>
        <item x="6"/>
        <item x="4"/>
        <item x="55"/>
        <item x="45"/>
        <item x="0"/>
        <item x="16"/>
        <item x="15"/>
        <item x="56"/>
        <item x="2"/>
        <item x="61"/>
        <item x="80"/>
        <item x="57"/>
        <item x="49"/>
        <item x="48"/>
        <item x="30"/>
        <item x="1"/>
        <item x="65"/>
        <item x="22"/>
        <item x="32"/>
        <item x="17"/>
        <item x="71"/>
        <item x="68"/>
        <item x="18"/>
        <item x="28"/>
        <item x="27"/>
        <item x="24"/>
        <item x="26"/>
        <item x="19"/>
        <item x="31"/>
        <item x="82"/>
        <item x="25"/>
        <item x="36"/>
        <item x="12"/>
        <item x="38"/>
        <item x="43"/>
        <item x="42"/>
        <item x="83"/>
        <item x="54"/>
        <item x="60"/>
        <item x="23"/>
        <item x="39"/>
        <item x="37"/>
        <item x="63"/>
        <item x="81"/>
        <item x="33"/>
        <item x="62"/>
        <item x="5"/>
        <item x="66"/>
        <item x="51"/>
        <item x="53"/>
        <item x="79"/>
        <item x="77"/>
        <item x="75"/>
        <item x="76"/>
        <item x="72"/>
        <item x="20"/>
        <item x="91"/>
        <item x="92"/>
        <item x="93"/>
        <item x="73"/>
        <item x="29"/>
        <item x="47"/>
        <item x="41"/>
        <item x="58"/>
        <item x="67"/>
        <item x="21"/>
        <item x="74"/>
        <item x="64"/>
        <item x="40"/>
        <item x="59"/>
        <item x="70"/>
        <item x="78"/>
        <item x="50"/>
        <item x="44"/>
        <item x="46"/>
        <item x="35"/>
        <item x="94"/>
        <item x="14"/>
        <item x="13"/>
        <item x="69"/>
        <item x="89"/>
        <item x="52"/>
        <item x="85"/>
        <item x="90"/>
        <item x="86"/>
        <item x="84"/>
        <item x="88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313">
      <pivotArea type="all" dataOnly="0" outline="0" fieldPosition="0"/>
    </format>
    <format dxfId="312">
      <pivotArea outline="0" collapsedLevelsAreSubtotals="1" fieldPosition="0"/>
    </format>
    <format dxfId="311">
      <pivotArea field="1" type="button" dataOnly="0" labelOnly="1" outline="0" axis="axisRow" fieldPosition="0"/>
    </format>
    <format dxfId="31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9">
      <pivotArea dataOnly="0" labelOnly="1" fieldPosition="0">
        <references count="1">
          <reference field="1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308">
      <pivotArea dataOnly="0" labelOnly="1" grandRow="1" outline="0" fieldPosition="0"/>
    </format>
    <format dxfId="30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0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0614F-1158-4145-868C-6205BBEE2D72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6" firstHeaderRow="0" firstDataRow="1" firstDataCol="1"/>
  <pivotFields count="10">
    <pivotField showAll="0"/>
    <pivotField axis="axisRow" showAll="0">
      <items count="80">
        <item x="20"/>
        <item x="7"/>
        <item x="70"/>
        <item x="44"/>
        <item x="73"/>
        <item x="6"/>
        <item x="31"/>
        <item x="49"/>
        <item x="13"/>
        <item x="77"/>
        <item x="26"/>
        <item x="21"/>
        <item x="19"/>
        <item x="22"/>
        <item x="36"/>
        <item x="11"/>
        <item x="2"/>
        <item x="18"/>
        <item x="4"/>
        <item x="17"/>
        <item x="3"/>
        <item x="15"/>
        <item x="30"/>
        <item x="32"/>
        <item x="10"/>
        <item x="48"/>
        <item x="5"/>
        <item x="25"/>
        <item x="43"/>
        <item x="28"/>
        <item x="14"/>
        <item x="9"/>
        <item x="39"/>
        <item x="69"/>
        <item x="27"/>
        <item x="54"/>
        <item x="12"/>
        <item x="8"/>
        <item x="33"/>
        <item x="63"/>
        <item x="62"/>
        <item x="16"/>
        <item x="37"/>
        <item x="23"/>
        <item x="55"/>
        <item x="42"/>
        <item x="41"/>
        <item x="59"/>
        <item x="1"/>
        <item x="40"/>
        <item x="47"/>
        <item x="0"/>
        <item x="64"/>
        <item x="58"/>
        <item x="38"/>
        <item x="24"/>
        <item x="60"/>
        <item x="71"/>
        <item x="74"/>
        <item x="57"/>
        <item x="65"/>
        <item x="29"/>
        <item x="50"/>
        <item x="75"/>
        <item x="52"/>
        <item x="56"/>
        <item x="51"/>
        <item x="76"/>
        <item x="46"/>
        <item x="34"/>
        <item x="61"/>
        <item x="35"/>
        <item x="53"/>
        <item x="78"/>
        <item x="45"/>
        <item x="66"/>
        <item x="68"/>
        <item x="72"/>
        <item x="67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1" type="button" dataOnly="0" labelOnly="1" outline="0" axis="axisRow" fieldPosition="0"/>
    </format>
    <format dxfId="30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01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300">
      <pivotArea dataOnly="0" labelOnly="1" grandRow="1" outline="0" fieldPosition="0"/>
    </format>
    <format dxfId="29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C9576-E5D0-4E76-9298-2D9802105415}" name="PivotTable4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91" firstHeaderRow="0" firstDataRow="1" firstDataCol="1"/>
  <pivotFields count="10">
    <pivotField numFmtId="165" showAll="0"/>
    <pivotField axis="axisRow" showAll="0">
      <items count="86">
        <item x="2"/>
        <item x="24"/>
        <item x="7"/>
        <item x="33"/>
        <item x="31"/>
        <item x="17"/>
        <item x="13"/>
        <item x="3"/>
        <item x="44"/>
        <item x="11"/>
        <item x="41"/>
        <item x="1"/>
        <item x="0"/>
        <item x="9"/>
        <item x="50"/>
        <item x="6"/>
        <item x="22"/>
        <item x="58"/>
        <item x="5"/>
        <item x="4"/>
        <item x="35"/>
        <item x="27"/>
        <item x="36"/>
        <item x="39"/>
        <item x="15"/>
        <item x="16"/>
        <item x="14"/>
        <item x="32"/>
        <item x="10"/>
        <item x="29"/>
        <item x="20"/>
        <item x="54"/>
        <item x="70"/>
        <item x="40"/>
        <item x="74"/>
        <item x="53"/>
        <item x="69"/>
        <item x="26"/>
        <item x="42"/>
        <item x="57"/>
        <item x="8"/>
        <item x="25"/>
        <item x="43"/>
        <item x="37"/>
        <item x="28"/>
        <item x="19"/>
        <item x="18"/>
        <item x="23"/>
        <item x="56"/>
        <item x="61"/>
        <item x="12"/>
        <item x="21"/>
        <item x="83"/>
        <item x="60"/>
        <item x="76"/>
        <item x="45"/>
        <item x="75"/>
        <item x="78"/>
        <item x="51"/>
        <item x="62"/>
        <item x="80"/>
        <item x="55"/>
        <item x="59"/>
        <item x="38"/>
        <item x="34"/>
        <item x="77"/>
        <item x="71"/>
        <item x="52"/>
        <item x="47"/>
        <item x="82"/>
        <item x="49"/>
        <item x="48"/>
        <item x="63"/>
        <item x="46"/>
        <item x="68"/>
        <item x="67"/>
        <item x="66"/>
        <item x="81"/>
        <item x="64"/>
        <item x="65"/>
        <item x="72"/>
        <item x="73"/>
        <item x="79"/>
        <item m="1" x="84"/>
        <item x="30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297">
      <pivotArea type="all" dataOnly="0" outline="0" fieldPosition="0"/>
    </format>
    <format dxfId="296">
      <pivotArea outline="0" collapsedLevelsAreSubtotals="1" fieldPosition="0"/>
    </format>
    <format dxfId="295">
      <pivotArea field="1" type="button" dataOnly="0" labelOnly="1" outline="0" axis="axisRow" fieldPosition="0"/>
    </format>
    <format dxfId="29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3">
      <pivotArea dataOnly="0" labelOnly="1" fieldPosition="0">
        <references count="1">
          <reference field="1" count="3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4"/>
          </reference>
        </references>
      </pivotArea>
    </format>
    <format dxfId="292">
      <pivotArea dataOnly="0" labelOnly="1" grandRow="1" outline="0" fieldPosition="0"/>
    </format>
    <format dxfId="29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1388F-94ED-47C7-9E74-39CA30605418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59" firstHeaderRow="0" firstDataRow="1" firstDataCol="1"/>
  <pivotFields count="10">
    <pivotField showAll="0"/>
    <pivotField axis="axisRow" showAll="0">
      <items count="54">
        <item m="1" x="52"/>
        <item x="50"/>
        <item x="33"/>
        <item x="7"/>
        <item x="18"/>
        <item x="39"/>
        <item x="30"/>
        <item x="20"/>
        <item x="51"/>
        <item x="48"/>
        <item x="11"/>
        <item x="47"/>
        <item x="9"/>
        <item x="8"/>
        <item x="19"/>
        <item x="3"/>
        <item x="6"/>
        <item x="12"/>
        <item x="31"/>
        <item x="26"/>
        <item x="42"/>
        <item x="21"/>
        <item x="23"/>
        <item x="13"/>
        <item x="37"/>
        <item x="22"/>
        <item x="14"/>
        <item x="34"/>
        <item x="1"/>
        <item x="29"/>
        <item x="35"/>
        <item x="36"/>
        <item x="24"/>
        <item x="25"/>
        <item x="40"/>
        <item x="10"/>
        <item x="15"/>
        <item x="2"/>
        <item x="5"/>
        <item x="4"/>
        <item x="0"/>
        <item x="44"/>
        <item x="27"/>
        <item x="28"/>
        <item x="16"/>
        <item x="32"/>
        <item x="43"/>
        <item x="17"/>
        <item x="38"/>
        <item x="49"/>
        <item x="41"/>
        <item x="46"/>
        <item x="45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showAll="0"/>
  </pivotFields>
  <rowFields count="1">
    <field x="1"/>
  </rowFields>
  <rowItems count="5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14"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1" type="button" dataOnly="0" labelOnly="1" outline="0" axis="axisRow" fieldPosition="0"/>
    </format>
    <format dxfId="28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5">
      <pivotArea dataOnly="0" labelOnly="1" fieldPosition="0">
        <references count="1">
          <reference field="1" count="2">
            <x v="50"/>
            <x v="51"/>
          </reference>
        </references>
      </pivotArea>
    </format>
    <format dxfId="284">
      <pivotArea dataOnly="0" labelOnly="1" grandRow="1" outline="0" fieldPosition="0"/>
    </format>
    <format dxfId="28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2">
      <pivotArea outline="0" collapsedLevelsAreSubtotals="1" fieldPosition="0"/>
    </format>
    <format dxfId="28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79">
      <pivotArea field="1" type="button" dataOnly="0" labelOnly="1" outline="0" axis="axisRow" fieldPosition="0"/>
    </format>
    <format dxfId="278">
      <pivotArea field="1" type="button" dataOnly="0" labelOnly="1" outline="0" axis="axisRow" fieldPosition="0"/>
    </format>
    <format dxfId="277">
      <pivotArea field="1" type="button" dataOnly="0" labelOnly="1" outline="0" axis="axisRow" fieldPosition="0"/>
    </format>
    <format dxfId="27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32940-55DD-4739-8C1A-F782DEA3F803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9" firstHeaderRow="0" firstDataRow="1" firstDataCol="1"/>
  <pivotFields count="10">
    <pivotField showAll="0"/>
    <pivotField axis="axisRow" showAll="0">
      <items count="83">
        <item x="76"/>
        <item x="24"/>
        <item x="78"/>
        <item x="72"/>
        <item x="0"/>
        <item x="48"/>
        <item x="56"/>
        <item x="43"/>
        <item x="73"/>
        <item x="10"/>
        <item x="54"/>
        <item x="17"/>
        <item x="12"/>
        <item x="3"/>
        <item x="4"/>
        <item x="2"/>
        <item x="11"/>
        <item x="7"/>
        <item x="18"/>
        <item x="6"/>
        <item x="5"/>
        <item x="36"/>
        <item x="8"/>
        <item x="52"/>
        <item x="46"/>
        <item x="61"/>
        <item x="13"/>
        <item x="21"/>
        <item x="23"/>
        <item x="32"/>
        <item x="34"/>
        <item x="16"/>
        <item x="39"/>
        <item x="26"/>
        <item x="27"/>
        <item x="37"/>
        <item x="53"/>
        <item x="59"/>
        <item x="31"/>
        <item x="60"/>
        <item x="58"/>
        <item x="44"/>
        <item x="1"/>
        <item x="25"/>
        <item x="79"/>
        <item x="15"/>
        <item x="30"/>
        <item x="9"/>
        <item x="38"/>
        <item x="14"/>
        <item x="51"/>
        <item x="49"/>
        <item x="69"/>
        <item x="68"/>
        <item x="35"/>
        <item x="64"/>
        <item x="63"/>
        <item x="29"/>
        <item x="75"/>
        <item x="40"/>
        <item x="70"/>
        <item x="50"/>
        <item x="57"/>
        <item x="33"/>
        <item x="62"/>
        <item x="20"/>
        <item x="22"/>
        <item x="28"/>
        <item x="19"/>
        <item x="71"/>
        <item x="47"/>
        <item x="67"/>
        <item x="66"/>
        <item x="45"/>
        <item x="80"/>
        <item x="81"/>
        <item x="77"/>
        <item x="41"/>
        <item x="55"/>
        <item x="42"/>
        <item x="65"/>
        <item x="74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14">
    <format dxfId="275">
      <pivotArea type="all" dataOnly="0" outline="0" fieldPosition="0"/>
    </format>
    <format dxfId="274">
      <pivotArea outline="0" collapsedLevelsAreSubtotals="1" fieldPosition="0"/>
    </format>
    <format dxfId="273">
      <pivotArea field="1" type="button" dataOnly="0" labelOnly="1" outline="0" axis="axisRow" fieldPosition="0"/>
    </format>
    <format dxfId="27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71">
      <pivotArea dataOnly="0" labelOnly="1" fieldPosition="0">
        <references count="1">
          <reference field="1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1" type="button" dataOnly="0" labelOnly="1" outline="0" axis="axisRow" fieldPosition="0"/>
    </format>
    <format dxfId="26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64">
      <pivotArea dataOnly="0" labelOnly="1" fieldPosition="0">
        <references count="1">
          <reference field="1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263">
      <pivotArea dataOnly="0" labelOnly="1" grandRow="1" outline="0" fieldPosition="0"/>
    </format>
    <format dxfId="26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79A5F-65D4-44D8-9E4A-8302F0A0A131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2" firstHeaderRow="0" firstDataRow="1" firstDataCol="1"/>
  <pivotFields count="10">
    <pivotField showAll="0"/>
    <pivotField axis="axisRow" showAll="0">
      <items count="96">
        <item x="10"/>
        <item x="11"/>
        <item x="9"/>
        <item x="8"/>
        <item x="7"/>
        <item x="34"/>
        <item x="3"/>
        <item x="87"/>
        <item x="6"/>
        <item x="4"/>
        <item x="55"/>
        <item x="45"/>
        <item x="0"/>
        <item x="16"/>
        <item x="15"/>
        <item x="56"/>
        <item x="2"/>
        <item x="61"/>
        <item x="80"/>
        <item x="57"/>
        <item x="49"/>
        <item x="48"/>
        <item x="30"/>
        <item x="1"/>
        <item x="65"/>
        <item x="22"/>
        <item x="32"/>
        <item x="17"/>
        <item x="71"/>
        <item x="68"/>
        <item x="18"/>
        <item x="28"/>
        <item x="27"/>
        <item x="24"/>
        <item x="26"/>
        <item x="19"/>
        <item x="31"/>
        <item x="82"/>
        <item x="25"/>
        <item x="36"/>
        <item x="12"/>
        <item x="38"/>
        <item x="43"/>
        <item x="42"/>
        <item x="83"/>
        <item x="54"/>
        <item x="60"/>
        <item x="23"/>
        <item x="39"/>
        <item x="37"/>
        <item x="63"/>
        <item x="81"/>
        <item x="33"/>
        <item x="62"/>
        <item x="5"/>
        <item x="66"/>
        <item x="51"/>
        <item x="53"/>
        <item x="79"/>
        <item x="77"/>
        <item x="75"/>
        <item x="76"/>
        <item x="72"/>
        <item x="20"/>
        <item x="91"/>
        <item x="92"/>
        <item x="93"/>
        <item x="73"/>
        <item x="29"/>
        <item x="47"/>
        <item x="41"/>
        <item x="58"/>
        <item x="67"/>
        <item x="21"/>
        <item x="74"/>
        <item x="64"/>
        <item x="40"/>
        <item x="59"/>
        <item x="70"/>
        <item x="78"/>
        <item x="50"/>
        <item x="44"/>
        <item x="46"/>
        <item x="35"/>
        <item x="94"/>
        <item x="14"/>
        <item x="13"/>
        <item x="69"/>
        <item x="89"/>
        <item x="52"/>
        <item x="85"/>
        <item x="90"/>
        <item x="86"/>
        <item x="84"/>
        <item x="88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261">
      <pivotArea type="all" dataOnly="0" outline="0" fieldPosition="0"/>
    </format>
    <format dxfId="260">
      <pivotArea outline="0" collapsedLevelsAreSubtotals="1" fieldPosition="0"/>
    </format>
    <format dxfId="259">
      <pivotArea field="1" type="button" dataOnly="0" labelOnly="1" outline="0" axis="axisRow" fieldPosition="0"/>
    </format>
    <format dxfId="25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7">
      <pivotArea dataOnly="0" labelOnly="1" fieldPosition="0">
        <references count="1">
          <reference field="1" count="45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256">
      <pivotArea dataOnly="0" labelOnly="1" grandRow="1" outline="0" fieldPosition="0"/>
    </format>
    <format dxfId="2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33B97-947E-4AF0-9479-CB359DEE937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6" firstHeaderRow="0" firstDataRow="1" firstDataCol="1"/>
  <pivotFields count="10"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80">
        <item x="20"/>
        <item x="7"/>
        <item x="70"/>
        <item x="44"/>
        <item x="73"/>
        <item x="6"/>
        <item x="31"/>
        <item x="49"/>
        <item x="13"/>
        <item x="77"/>
        <item x="26"/>
        <item x="21"/>
        <item x="19"/>
        <item x="22"/>
        <item x="36"/>
        <item x="11"/>
        <item x="2"/>
        <item x="18"/>
        <item x="4"/>
        <item x="17"/>
        <item x="3"/>
        <item x="15"/>
        <item x="30"/>
        <item x="32"/>
        <item x="10"/>
        <item x="48"/>
        <item x="5"/>
        <item x="25"/>
        <item x="43"/>
        <item x="28"/>
        <item x="14"/>
        <item x="9"/>
        <item x="39"/>
        <item x="69"/>
        <item x="27"/>
        <item x="54"/>
        <item x="12"/>
        <item x="8"/>
        <item x="33"/>
        <item x="63"/>
        <item x="62"/>
        <item x="16"/>
        <item x="37"/>
        <item x="23"/>
        <item x="55"/>
        <item x="42"/>
        <item x="41"/>
        <item x="59"/>
        <item x="1"/>
        <item x="40"/>
        <item x="47"/>
        <item x="0"/>
        <item x="64"/>
        <item x="58"/>
        <item x="38"/>
        <item x="24"/>
        <item x="60"/>
        <item x="71"/>
        <item x="74"/>
        <item x="57"/>
        <item x="65"/>
        <item x="29"/>
        <item x="50"/>
        <item x="75"/>
        <item x="52"/>
        <item x="56"/>
        <item x="51"/>
        <item x="76"/>
        <item x="46"/>
        <item x="34"/>
        <item x="61"/>
        <item x="35"/>
        <item x="53"/>
        <item x="78"/>
        <item x="45"/>
        <item x="66"/>
        <item x="68"/>
        <item x="72"/>
        <item x="67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15"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1" type="button" dataOnly="0" labelOnly="1" outline="0" axis="axisRow" fieldPosition="0"/>
    </format>
    <format dxfId="250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9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248">
      <pivotArea dataOnly="0" labelOnly="1" grandRow="1" outline="0" fieldPosition="0"/>
    </format>
    <format dxfId="24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field="1" type="button" dataOnly="0" labelOnly="1" outline="0" axis="axisRow" fieldPosition="0"/>
    </format>
    <format dxfId="24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2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241">
      <pivotArea dataOnly="0" labelOnly="1" grandRow="1" outline="0" fieldPosition="0"/>
    </format>
    <format dxfId="24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C7579-FEF1-44BE-8726-4D65F8B3E371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91" firstHeaderRow="0" firstDataRow="1" firstDataCol="1"/>
  <pivotFields count="10">
    <pivotField numFmtId="165" showAll="0"/>
    <pivotField axis="axisRow" showAll="0">
      <items count="86">
        <item x="2"/>
        <item x="24"/>
        <item x="7"/>
        <item x="33"/>
        <item x="31"/>
        <item x="17"/>
        <item x="13"/>
        <item x="3"/>
        <item x="44"/>
        <item x="11"/>
        <item x="41"/>
        <item x="1"/>
        <item x="0"/>
        <item x="9"/>
        <item x="50"/>
        <item x="6"/>
        <item x="22"/>
        <item x="58"/>
        <item x="5"/>
        <item x="4"/>
        <item x="35"/>
        <item x="27"/>
        <item x="36"/>
        <item x="39"/>
        <item x="15"/>
        <item x="16"/>
        <item x="14"/>
        <item x="32"/>
        <item x="10"/>
        <item x="29"/>
        <item x="20"/>
        <item x="54"/>
        <item x="70"/>
        <item x="40"/>
        <item x="74"/>
        <item x="53"/>
        <item x="69"/>
        <item x="26"/>
        <item x="42"/>
        <item x="57"/>
        <item x="8"/>
        <item x="25"/>
        <item x="43"/>
        <item x="37"/>
        <item x="28"/>
        <item x="19"/>
        <item x="18"/>
        <item x="23"/>
        <item x="56"/>
        <item x="61"/>
        <item x="12"/>
        <item x="21"/>
        <item x="83"/>
        <item x="60"/>
        <item x="76"/>
        <item x="45"/>
        <item x="75"/>
        <item x="78"/>
        <item x="51"/>
        <item x="62"/>
        <item x="80"/>
        <item x="55"/>
        <item x="59"/>
        <item x="38"/>
        <item x="34"/>
        <item x="77"/>
        <item x="71"/>
        <item x="52"/>
        <item x="47"/>
        <item x="82"/>
        <item x="49"/>
        <item x="48"/>
        <item x="63"/>
        <item x="46"/>
        <item x="68"/>
        <item x="67"/>
        <item x="66"/>
        <item x="81"/>
        <item x="64"/>
        <item x="65"/>
        <item x="72"/>
        <item x="73"/>
        <item x="79"/>
        <item m="1" x="84"/>
        <item x="30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238">
      <pivotArea type="all" dataOnly="0" outline="0" fieldPosition="0"/>
    </format>
    <format dxfId="237">
      <pivotArea outline="0" collapsedLevelsAreSubtotals="1" fieldPosition="0"/>
    </format>
    <format dxfId="236">
      <pivotArea field="1" type="button" dataOnly="0" labelOnly="1" outline="0" axis="axisRow" fieldPosition="0"/>
    </format>
    <format dxfId="23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4">
      <pivotArea dataOnly="0" labelOnly="1" fieldPosition="0">
        <references count="1">
          <reference field="1" count="3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</reference>
        </references>
      </pivotArea>
    </format>
    <format dxfId="233">
      <pivotArea dataOnly="0" labelOnly="1" grandRow="1" outline="0" fieldPosition="0"/>
    </format>
    <format dxfId="2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3697-3073-4B67-8DDD-FE982D91C7AA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6" firstHeaderRow="0" firstDataRow="1" firstDataCol="1"/>
  <pivotFields count="10">
    <pivotField showAll="0"/>
    <pivotField axis="axisRow" showAll="0">
      <items count="80">
        <item x="20"/>
        <item x="0"/>
        <item x="47"/>
        <item x="56"/>
        <item x="1"/>
        <item x="15"/>
        <item x="9"/>
        <item x="30"/>
        <item x="23"/>
        <item x="34"/>
        <item x="5"/>
        <item x="6"/>
        <item x="58"/>
        <item x="16"/>
        <item x="70"/>
        <item x="13"/>
        <item x="8"/>
        <item x="7"/>
        <item x="39"/>
        <item x="3"/>
        <item x="14"/>
        <item x="72"/>
        <item x="67"/>
        <item x="21"/>
        <item x="29"/>
        <item x="24"/>
        <item x="22"/>
        <item x="18"/>
        <item x="17"/>
        <item x="12"/>
        <item x="25"/>
        <item x="36"/>
        <item x="42"/>
        <item x="35"/>
        <item x="10"/>
        <item x="33"/>
        <item x="11"/>
        <item x="4"/>
        <item x="27"/>
        <item x="51"/>
        <item x="43"/>
        <item x="19"/>
        <item x="32"/>
        <item x="31"/>
        <item x="64"/>
        <item x="26"/>
        <item x="28"/>
        <item x="68"/>
        <item x="2"/>
        <item x="60"/>
        <item x="45"/>
        <item x="37"/>
        <item x="69"/>
        <item x="49"/>
        <item x="52"/>
        <item x="41"/>
        <item x="71"/>
        <item x="61"/>
        <item x="50"/>
        <item x="48"/>
        <item x="54"/>
        <item x="78"/>
        <item x="38"/>
        <item x="73"/>
        <item x="66"/>
        <item x="63"/>
        <item x="40"/>
        <item x="65"/>
        <item x="77"/>
        <item x="62"/>
        <item x="44"/>
        <item x="46"/>
        <item x="74"/>
        <item x="53"/>
        <item x="76"/>
        <item x="59"/>
        <item x="57"/>
        <item x="55"/>
        <item x="75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showAll="0"/>
  </pivotFields>
  <rowFields count="1">
    <field x="1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1" type="button" dataOnly="0" labelOnly="1" outline="0" axis="axisRow" fieldPosition="0"/>
    </format>
    <format dxfId="22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6">
      <pivotArea dataOnly="0" labelOnly="1" fieldPosition="0">
        <references count="1">
          <reference field="1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225">
      <pivotArea dataOnly="0" labelOnly="1" grandRow="1" outline="0" fieldPosition="0"/>
    </format>
    <format dxfId="22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243B2-0ED1-41D4-BC05-231D14039D30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35" firstHeaderRow="0" firstDataRow="1" firstDataCol="1"/>
  <pivotFields count="10">
    <pivotField showAll="0"/>
    <pivotField axis="axisRow" showAll="0">
      <items count="129">
        <item x="8"/>
        <item x="24"/>
        <item x="26"/>
        <item x="27"/>
        <item x="111"/>
        <item x="113"/>
        <item x="88"/>
        <item x="108"/>
        <item x="28"/>
        <item x="9"/>
        <item x="45"/>
        <item x="25"/>
        <item x="6"/>
        <item x="2"/>
        <item x="15"/>
        <item x="3"/>
        <item x="42"/>
        <item x="19"/>
        <item x="21"/>
        <item x="22"/>
        <item x="56"/>
        <item x="31"/>
        <item x="119"/>
        <item x="23"/>
        <item x="14"/>
        <item x="0"/>
        <item x="18"/>
        <item x="79"/>
        <item x="40"/>
        <item x="10"/>
        <item x="30"/>
        <item x="67"/>
        <item x="36"/>
        <item x="48"/>
        <item x="65"/>
        <item x="43"/>
        <item x="77"/>
        <item x="54"/>
        <item x="47"/>
        <item x="57"/>
        <item x="16"/>
        <item x="11"/>
        <item x="78"/>
        <item x="29"/>
        <item x="64"/>
        <item x="17"/>
        <item x="46"/>
        <item x="109"/>
        <item x="7"/>
        <item x="62"/>
        <item x="20"/>
        <item x="61"/>
        <item x="70"/>
        <item x="85"/>
        <item x="1"/>
        <item x="49"/>
        <item x="39"/>
        <item x="60"/>
        <item x="82"/>
        <item x="51"/>
        <item x="75"/>
        <item x="55"/>
        <item x="72"/>
        <item x="63"/>
        <item x="44"/>
        <item x="37"/>
        <item x="73"/>
        <item x="50"/>
        <item x="80"/>
        <item x="35"/>
        <item x="52"/>
        <item x="117"/>
        <item x="13"/>
        <item x="53"/>
        <item x="66"/>
        <item x="112"/>
        <item x="32"/>
        <item x="97"/>
        <item x="58"/>
        <item x="5"/>
        <item x="4"/>
        <item x="76"/>
        <item x="12"/>
        <item x="34"/>
        <item x="41"/>
        <item x="33"/>
        <item x="38"/>
        <item x="68"/>
        <item x="74"/>
        <item x="71"/>
        <item x="69"/>
        <item x="89"/>
        <item x="102"/>
        <item x="115"/>
        <item x="122"/>
        <item x="125"/>
        <item x="81"/>
        <item x="100"/>
        <item x="98"/>
        <item x="59"/>
        <item x="86"/>
        <item x="94"/>
        <item x="83"/>
        <item x="127"/>
        <item x="107"/>
        <item x="106"/>
        <item x="84"/>
        <item x="93"/>
        <item x="87"/>
        <item x="99"/>
        <item x="105"/>
        <item x="103"/>
        <item x="124"/>
        <item x="90"/>
        <item x="116"/>
        <item x="104"/>
        <item x="92"/>
        <item x="110"/>
        <item x="121"/>
        <item x="114"/>
        <item x="123"/>
        <item x="126"/>
        <item x="91"/>
        <item x="101"/>
        <item x="96"/>
        <item x="95"/>
        <item x="118"/>
        <item x="120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10">
    <format dxfId="222">
      <pivotArea outline="0" collapsedLevelsAreSubtotals="1" fieldPosition="0"/>
    </format>
    <format dxfId="2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0">
      <pivotArea outline="0" collapsedLevelsAreSubtotals="1" fieldPosition="0"/>
    </format>
    <format dxfId="2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8">
      <pivotArea dataOnly="0" labelOnly="1" fieldPosition="0">
        <references count="1">
          <reference field="1" count="4">
            <x v="1"/>
            <x v="2"/>
            <x v="3"/>
            <x v="4"/>
          </reference>
        </references>
      </pivotArea>
    </format>
    <format dxfId="217">
      <pivotArea field="1" type="button" dataOnly="0" labelOnly="1" outline="0" axis="axisRow" fieldPosition="0"/>
    </format>
    <format dxfId="216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15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14">
      <pivotArea dataOnly="0" labelOnly="1" fieldPosition="0">
        <references count="1">
          <reference field="1" count="2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A816C-AAB8-4341-A840-7FA77F8E5E84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21" firstHeaderRow="0" firstDataRow="1" firstDataCol="1"/>
  <pivotFields count="10">
    <pivotField showAll="0"/>
    <pivotField axis="axisRow" showAll="0">
      <items count="115">
        <item x="98"/>
        <item x="81"/>
        <item x="62"/>
        <item x="101"/>
        <item x="75"/>
        <item x="77"/>
        <item x="82"/>
        <item x="79"/>
        <item x="100"/>
        <item x="104"/>
        <item x="103"/>
        <item x="31"/>
        <item x="70"/>
        <item x="48"/>
        <item x="22"/>
        <item x="52"/>
        <item x="57"/>
        <item x="13"/>
        <item x="86"/>
        <item x="4"/>
        <item x="67"/>
        <item x="90"/>
        <item x="89"/>
        <item x="88"/>
        <item x="87"/>
        <item x="19"/>
        <item x="9"/>
        <item x="44"/>
        <item x="92"/>
        <item x="6"/>
        <item x="63"/>
        <item x="5"/>
        <item x="32"/>
        <item x="108"/>
        <item x="17"/>
        <item x="14"/>
        <item x="15"/>
        <item x="18"/>
        <item x="2"/>
        <item x="10"/>
        <item x="11"/>
        <item x="12"/>
        <item x="3"/>
        <item x="7"/>
        <item x="0"/>
        <item x="8"/>
        <item x="38"/>
        <item x="33"/>
        <item x="25"/>
        <item x="36"/>
        <item x="35"/>
        <item x="37"/>
        <item x="41"/>
        <item x="39"/>
        <item x="61"/>
        <item x="34"/>
        <item x="21"/>
        <item x="51"/>
        <item x="16"/>
        <item x="113"/>
        <item x="40"/>
        <item x="46"/>
        <item x="23"/>
        <item x="50"/>
        <item x="24"/>
        <item x="26"/>
        <item x="60"/>
        <item x="30"/>
        <item x="47"/>
        <item x="29"/>
        <item x="73"/>
        <item x="53"/>
        <item x="80"/>
        <item x="58"/>
        <item x="105"/>
        <item x="20"/>
        <item x="68"/>
        <item x="76"/>
        <item x="49"/>
        <item x="59"/>
        <item x="55"/>
        <item x="109"/>
        <item x="93"/>
        <item x="107"/>
        <item x="1"/>
        <item x="45"/>
        <item x="54"/>
        <item x="56"/>
        <item x="71"/>
        <item x="72"/>
        <item x="111"/>
        <item x="27"/>
        <item x="64"/>
        <item x="28"/>
        <item x="42"/>
        <item x="43"/>
        <item x="74"/>
        <item x="78"/>
        <item x="69"/>
        <item x="66"/>
        <item x="106"/>
        <item x="97"/>
        <item x="95"/>
        <item x="94"/>
        <item x="99"/>
        <item x="84"/>
        <item x="102"/>
        <item x="112"/>
        <item x="110"/>
        <item x="65"/>
        <item x="91"/>
        <item x="83"/>
        <item x="96"/>
        <item x="85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25"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1" type="button" dataOnly="0" labelOnly="1" outline="0" axis="axisRow" fieldPosition="0"/>
    </format>
    <format dxfId="20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8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07">
      <pivotArea dataOnly="0" labelOnly="1" fieldPosition="0">
        <references count="1">
          <reference field="1" count="1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206">
      <pivotArea dataOnly="0" labelOnly="1" grandRow="1" outline="0" fieldPosition="0"/>
    </format>
    <format dxfId="20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1" type="button" dataOnly="0" labelOnly="1" outline="0" axis="axisRow" fieldPosition="0"/>
    </format>
    <format dxfId="20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99">
      <pivotArea dataOnly="0" labelOnly="1" fieldPosition="0">
        <references count="1">
          <reference field="1" count="1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" type="button" dataOnly="0" labelOnly="1" outline="0" axis="axisRow" fieldPosition="0"/>
    </format>
    <format dxfId="19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2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91">
      <pivotArea dataOnly="0" labelOnly="1" fieldPosition="0">
        <references count="1">
          <reference field="1" count="14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</reference>
        </references>
      </pivotArea>
    </format>
    <format dxfId="190">
      <pivotArea dataOnly="0" labelOnly="1" grandRow="1" outline="0" fieldPosition="0"/>
    </format>
    <format dxfId="18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7D175-1F28-4589-BFC0-08CD54D2AC33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08" firstHeaderRow="0" firstDataRow="1" firstDataCol="1"/>
  <pivotFields count="10">
    <pivotField showAll="0"/>
    <pivotField axis="axisRow" showAll="0">
      <items count="102">
        <item x="96"/>
        <item x="42"/>
        <item x="92"/>
        <item x="55"/>
        <item x="76"/>
        <item x="16"/>
        <item x="77"/>
        <item x="94"/>
        <item x="98"/>
        <item x="79"/>
        <item x="56"/>
        <item x="95"/>
        <item x="83"/>
        <item x="90"/>
        <item x="93"/>
        <item x="91"/>
        <item x="99"/>
        <item x="97"/>
        <item x="81"/>
        <item x="8"/>
        <item x="13"/>
        <item x="78"/>
        <item x="57"/>
        <item x="48"/>
        <item x="27"/>
        <item x="37"/>
        <item x="73"/>
        <item x="69"/>
        <item x="1"/>
        <item x="50"/>
        <item x="41"/>
        <item x="30"/>
        <item x="31"/>
        <item x="18"/>
        <item x="5"/>
        <item x="11"/>
        <item x="3"/>
        <item x="12"/>
        <item x="14"/>
        <item x="17"/>
        <item x="43"/>
        <item x="15"/>
        <item x="4"/>
        <item x="36"/>
        <item x="23"/>
        <item x="9"/>
        <item x="39"/>
        <item x="75"/>
        <item x="10"/>
        <item x="6"/>
        <item x="70"/>
        <item x="28"/>
        <item x="64"/>
        <item x="66"/>
        <item x="67"/>
        <item x="29"/>
        <item x="33"/>
        <item x="60"/>
        <item x="19"/>
        <item x="52"/>
        <item x="26"/>
        <item x="53"/>
        <item x="38"/>
        <item x="40"/>
        <item x="21"/>
        <item x="7"/>
        <item x="51"/>
        <item x="44"/>
        <item x="87"/>
        <item x="62"/>
        <item x="68"/>
        <item x="34"/>
        <item x="61"/>
        <item x="82"/>
        <item x="20"/>
        <item x="0"/>
        <item x="63"/>
        <item x="22"/>
        <item x="74"/>
        <item x="2"/>
        <item x="100"/>
        <item x="65"/>
        <item x="71"/>
        <item x="72"/>
        <item x="54"/>
        <item x="24"/>
        <item x="47"/>
        <item x="80"/>
        <item x="88"/>
        <item x="89"/>
        <item x="46"/>
        <item x="58"/>
        <item x="35"/>
        <item x="84"/>
        <item x="86"/>
        <item x="45"/>
        <item x="32"/>
        <item x="59"/>
        <item x="85"/>
        <item x="49"/>
        <item x="25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9"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" type="button" dataOnly="0" labelOnly="1" outline="0" axis="axisRow" fieldPosition="0"/>
    </format>
    <format dxfId="18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82">
      <pivotArea dataOnly="0" labelOnly="1" fieldPosition="0">
        <references count="1">
          <reference field="1" count="1">
            <x v="100"/>
          </reference>
        </references>
      </pivotArea>
    </format>
    <format dxfId="181">
      <pivotArea dataOnly="0" labelOnly="1" grandRow="1" outline="0" fieldPosition="0"/>
    </format>
    <format dxfId="1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97CF4-9C53-4B53-B2EA-9FB2FEDC70C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89" firstHeaderRow="0" firstDataRow="1" firstDataCol="1"/>
  <pivotFields count="10">
    <pivotField showAll="0"/>
    <pivotField axis="axisRow" showAll="0">
      <items count="83">
        <item x="29"/>
        <item x="27"/>
        <item x="73"/>
        <item x="26"/>
        <item x="23"/>
        <item x="16"/>
        <item x="76"/>
        <item x="72"/>
        <item x="74"/>
        <item x="0"/>
        <item x="39"/>
        <item x="70"/>
        <item x="15"/>
        <item x="22"/>
        <item x="10"/>
        <item x="8"/>
        <item x="44"/>
        <item x="6"/>
        <item x="4"/>
        <item x="5"/>
        <item x="31"/>
        <item x="13"/>
        <item x="62"/>
        <item x="78"/>
        <item x="42"/>
        <item x="2"/>
        <item x="60"/>
        <item x="43"/>
        <item x="21"/>
        <item x="12"/>
        <item x="24"/>
        <item x="25"/>
        <item x="55"/>
        <item x="7"/>
        <item x="30"/>
        <item x="9"/>
        <item x="20"/>
        <item x="19"/>
        <item x="56"/>
        <item x="81"/>
        <item x="75"/>
        <item x="1"/>
        <item x="35"/>
        <item x="11"/>
        <item x="58"/>
        <item x="41"/>
        <item x="69"/>
        <item x="48"/>
        <item x="57"/>
        <item x="17"/>
        <item x="47"/>
        <item x="37"/>
        <item x="18"/>
        <item x="46"/>
        <item x="33"/>
        <item x="66"/>
        <item x="49"/>
        <item x="45"/>
        <item x="28"/>
        <item x="36"/>
        <item x="53"/>
        <item x="71"/>
        <item x="63"/>
        <item x="52"/>
        <item x="34"/>
        <item x="38"/>
        <item x="80"/>
        <item x="68"/>
        <item x="65"/>
        <item x="67"/>
        <item x="79"/>
        <item x="32"/>
        <item x="54"/>
        <item x="64"/>
        <item x="50"/>
        <item x="61"/>
        <item x="77"/>
        <item x="59"/>
        <item x="3"/>
        <item x="14"/>
        <item x="51"/>
        <item x="40"/>
        <item t="default"/>
      </items>
    </pivotField>
    <pivotField showAll="0"/>
    <pivotField showAll="0"/>
    <pivotField showAll="0"/>
    <pivotField showAll="0"/>
    <pivotField dataField="1" numFmtId="44" showAll="0"/>
    <pivotField dataField="1" showAll="0"/>
    <pivotField dataField="1" showAll="0"/>
    <pivotField dataField="1" numFmtId="44" showAll="0"/>
  </pivotFields>
  <rowFields count="1">
    <field x="1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se Work Order" fld="6" baseField="0" baseItem="0"/>
    <dataField name="Sum of Additional (1)" fld="7" baseField="0" baseItem="0"/>
    <dataField name="Sum of Additional (2)" fld="8" baseField="0" baseItem="0"/>
    <dataField name="Sum of Total" fld="9" baseField="0" baseItem="0"/>
  </dataFields>
  <formats count="8">
    <format dxfId="171">
      <pivotArea type="all" dataOnly="0" outline="0" fieldPosition="0"/>
    </format>
    <format dxfId="172">
      <pivotArea outline="0" collapsedLevelsAreSubtotals="1" fieldPosition="0"/>
    </format>
    <format dxfId="173">
      <pivotArea field="1" type="button" dataOnly="0" labelOnly="1" outline="0" axis="axisRow" fieldPosition="0"/>
    </format>
    <format dxfId="17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5">
      <pivotArea dataOnly="0" labelOnly="1" fieldPosition="0">
        <references count="1">
          <reference field="1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176">
      <pivotArea dataOnly="0" labelOnly="1" grandRow="1" outline="0" fieldPosition="0"/>
    </format>
    <format dxfId="17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0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6512-8FD8-4BCF-98BF-448959BB346D}">
  <dimension ref="A1:B23"/>
  <sheetViews>
    <sheetView topLeftCell="A2" workbookViewId="0">
      <selection activeCell="A8" sqref="A8"/>
    </sheetView>
  </sheetViews>
  <sheetFormatPr defaultRowHeight="16" x14ac:dyDescent="0.8"/>
  <cols>
    <col min="1" max="1" width="60.5390625" customWidth="1"/>
    <col min="2" max="2" width="16.0390625" style="8" customWidth="1"/>
  </cols>
  <sheetData>
    <row r="1" spans="1:2" x14ac:dyDescent="0.8">
      <c r="A1" s="1" t="s">
        <v>28</v>
      </c>
      <c r="B1" s="5" t="s">
        <v>29</v>
      </c>
    </row>
    <row r="2" spans="1:2" x14ac:dyDescent="0.8">
      <c r="A2" s="2" t="s">
        <v>30</v>
      </c>
      <c r="B2" s="6">
        <v>185</v>
      </c>
    </row>
    <row r="3" spans="1:2" x14ac:dyDescent="0.8">
      <c r="A3" s="3" t="s">
        <v>31</v>
      </c>
      <c r="B3" s="7">
        <v>125</v>
      </c>
    </row>
    <row r="4" spans="1:2" x14ac:dyDescent="0.8">
      <c r="A4" s="2" t="s">
        <v>32</v>
      </c>
      <c r="B4" s="6">
        <v>155</v>
      </c>
    </row>
    <row r="5" spans="1:2" x14ac:dyDescent="0.8">
      <c r="A5" s="3" t="s">
        <v>17</v>
      </c>
      <c r="B5" s="7">
        <v>105</v>
      </c>
    </row>
    <row r="6" spans="1:2" x14ac:dyDescent="0.8">
      <c r="A6" s="2" t="s">
        <v>8</v>
      </c>
      <c r="B6" s="6">
        <v>125</v>
      </c>
    </row>
    <row r="7" spans="1:2" x14ac:dyDescent="0.8">
      <c r="A7" s="3" t="s">
        <v>33</v>
      </c>
      <c r="B7" s="7">
        <v>85</v>
      </c>
    </row>
    <row r="8" spans="1:2" x14ac:dyDescent="0.8">
      <c r="A8" s="2" t="s">
        <v>21</v>
      </c>
      <c r="B8" s="6">
        <v>45</v>
      </c>
    </row>
    <row r="9" spans="1:2" x14ac:dyDescent="0.8">
      <c r="A9" s="3" t="s">
        <v>34</v>
      </c>
      <c r="B9" s="7">
        <v>55</v>
      </c>
    </row>
    <row r="10" spans="1:2" x14ac:dyDescent="0.8">
      <c r="A10" s="2" t="s">
        <v>10</v>
      </c>
      <c r="B10" s="6">
        <v>15</v>
      </c>
    </row>
    <row r="11" spans="1:2" x14ac:dyDescent="0.8">
      <c r="A11" s="3" t="s">
        <v>35</v>
      </c>
      <c r="B11" s="7">
        <v>25</v>
      </c>
    </row>
    <row r="12" spans="1:2" x14ac:dyDescent="0.8">
      <c r="A12" s="2" t="s">
        <v>36</v>
      </c>
      <c r="B12" s="6">
        <v>65</v>
      </c>
    </row>
    <row r="13" spans="1:2" x14ac:dyDescent="0.8">
      <c r="A13" s="3" t="s">
        <v>9</v>
      </c>
      <c r="B13" s="7">
        <v>40</v>
      </c>
    </row>
    <row r="14" spans="1:2" x14ac:dyDescent="0.8">
      <c r="A14" s="2" t="s">
        <v>37</v>
      </c>
      <c r="B14" s="6">
        <v>65</v>
      </c>
    </row>
    <row r="15" spans="1:2" x14ac:dyDescent="0.8">
      <c r="A15" s="3" t="s">
        <v>38</v>
      </c>
      <c r="B15" s="7">
        <v>75</v>
      </c>
    </row>
    <row r="16" spans="1:2" x14ac:dyDescent="0.8">
      <c r="A16" s="2" t="s">
        <v>39</v>
      </c>
      <c r="B16" s="6">
        <v>55</v>
      </c>
    </row>
    <row r="17" spans="1:2" x14ac:dyDescent="0.8">
      <c r="A17" s="3" t="s">
        <v>15</v>
      </c>
      <c r="B17" s="7">
        <v>40</v>
      </c>
    </row>
    <row r="18" spans="1:2" x14ac:dyDescent="0.8">
      <c r="A18" s="2" t="s">
        <v>40</v>
      </c>
      <c r="B18" s="6">
        <v>40</v>
      </c>
    </row>
    <row r="19" spans="1:2" x14ac:dyDescent="0.8">
      <c r="A19" s="3" t="s">
        <v>41</v>
      </c>
      <c r="B19" s="7">
        <v>85</v>
      </c>
    </row>
    <row r="20" spans="1:2" x14ac:dyDescent="0.8">
      <c r="A20" s="2" t="s">
        <v>42</v>
      </c>
      <c r="B20" s="6">
        <v>225</v>
      </c>
    </row>
    <row r="21" spans="1:2" x14ac:dyDescent="0.8">
      <c r="A21" s="3" t="s">
        <v>43</v>
      </c>
      <c r="B21" s="7">
        <v>50</v>
      </c>
    </row>
    <row r="22" spans="1:2" x14ac:dyDescent="0.8">
      <c r="A22" s="2" t="s">
        <v>44</v>
      </c>
      <c r="B22" s="6">
        <v>30</v>
      </c>
    </row>
    <row r="23" spans="1:2" x14ac:dyDescent="0.8">
      <c r="A23" s="4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2E2C-BFD1-4DC9-8C2E-AA9FA1EE9BBD}">
  <dimension ref="A1:J14"/>
  <sheetViews>
    <sheetView zoomScale="70" zoomScaleNormal="70" workbookViewId="0">
      <selection activeCell="B22" sqref="A20:B22"/>
    </sheetView>
  </sheetViews>
  <sheetFormatPr defaultColWidth="8.625" defaultRowHeight="16" x14ac:dyDescent="0.8"/>
  <cols>
    <col min="1" max="4" width="25.0390625" customWidth="1"/>
    <col min="5" max="5" width="50.1640625" customWidth="1"/>
    <col min="6" max="6" width="25.0390625" customWidth="1"/>
    <col min="7" max="7" width="17.25" style="8" customWidth="1"/>
    <col min="8" max="8" width="13.20703125" style="8" customWidth="1"/>
    <col min="9" max="9" width="13.9140625" style="8" customWidth="1"/>
    <col min="10" max="10" width="14.2890625" customWidth="1"/>
    <col min="11" max="994" width="25.0390625" customWidth="1"/>
  </cols>
  <sheetData>
    <row r="1" spans="1:10" s="26" customFormat="1" ht="29.75" x14ac:dyDescent="0.8">
      <c r="A1" s="27" t="s">
        <v>0</v>
      </c>
      <c r="B1" s="27" t="s">
        <v>1</v>
      </c>
      <c r="C1" s="28" t="s">
        <v>2</v>
      </c>
      <c r="D1" s="29" t="s">
        <v>3</v>
      </c>
      <c r="E1" s="29" t="s">
        <v>4</v>
      </c>
      <c r="F1" s="29" t="s">
        <v>4</v>
      </c>
      <c r="G1" s="30" t="s">
        <v>100</v>
      </c>
      <c r="H1" s="30" t="s">
        <v>98</v>
      </c>
      <c r="I1" s="30" t="s">
        <v>99</v>
      </c>
      <c r="J1" s="31" t="s">
        <v>97</v>
      </c>
    </row>
    <row r="2" spans="1:10" x14ac:dyDescent="0.8">
      <c r="A2" s="10" t="s">
        <v>46</v>
      </c>
      <c r="B2" s="10" t="s">
        <v>47</v>
      </c>
      <c r="C2" s="10" t="s">
        <v>20</v>
      </c>
      <c r="D2" s="10" t="s">
        <v>17</v>
      </c>
      <c r="E2" s="10"/>
      <c r="F2" s="10" t="s">
        <v>9</v>
      </c>
      <c r="G2" s="11">
        <v>105</v>
      </c>
      <c r="H2" s="11"/>
      <c r="I2" s="11">
        <v>40</v>
      </c>
      <c r="J2" s="12">
        <f>SUM(G2:I2)</f>
        <v>145</v>
      </c>
    </row>
    <row r="3" spans="1:10" x14ac:dyDescent="0.8">
      <c r="A3" s="10" t="s">
        <v>46</v>
      </c>
      <c r="B3" s="10" t="s">
        <v>48</v>
      </c>
      <c r="C3" s="10" t="s">
        <v>24</v>
      </c>
      <c r="D3" s="10" t="s">
        <v>15</v>
      </c>
      <c r="E3" s="10"/>
      <c r="F3" s="10"/>
      <c r="G3" s="11">
        <v>40</v>
      </c>
      <c r="H3" s="11"/>
      <c r="I3" s="11"/>
      <c r="J3" s="12">
        <f t="shared" ref="J3:J12" si="0">SUM(G3:I3)</f>
        <v>40</v>
      </c>
    </row>
    <row r="4" spans="1:10" x14ac:dyDescent="0.8">
      <c r="A4" s="10" t="s">
        <v>46</v>
      </c>
      <c r="B4" s="10" t="s">
        <v>49</v>
      </c>
      <c r="C4" s="10" t="s">
        <v>24</v>
      </c>
      <c r="D4" s="10" t="s">
        <v>8</v>
      </c>
      <c r="E4" s="10"/>
      <c r="F4" s="10"/>
      <c r="G4" s="11">
        <v>125</v>
      </c>
      <c r="H4" s="11"/>
      <c r="I4" s="11"/>
      <c r="J4" s="12">
        <f t="shared" si="0"/>
        <v>125</v>
      </c>
    </row>
    <row r="5" spans="1:10" x14ac:dyDescent="0.8">
      <c r="A5" s="10" t="s">
        <v>46</v>
      </c>
      <c r="B5" s="10" t="s">
        <v>50</v>
      </c>
      <c r="C5" s="10" t="s">
        <v>20</v>
      </c>
      <c r="D5" s="10" t="s">
        <v>33</v>
      </c>
      <c r="E5" s="10" t="s">
        <v>9</v>
      </c>
      <c r="F5" s="10"/>
      <c r="G5" s="11">
        <v>85</v>
      </c>
      <c r="H5" s="11">
        <v>40</v>
      </c>
      <c r="I5" s="11"/>
      <c r="J5" s="12">
        <f t="shared" si="0"/>
        <v>125</v>
      </c>
    </row>
    <row r="6" spans="1:10" x14ac:dyDescent="0.8">
      <c r="A6" s="10" t="s">
        <v>46</v>
      </c>
      <c r="B6" s="10" t="s">
        <v>51</v>
      </c>
      <c r="C6" s="10" t="s">
        <v>20</v>
      </c>
      <c r="D6" s="10" t="s">
        <v>8</v>
      </c>
      <c r="E6" s="10" t="s">
        <v>9</v>
      </c>
      <c r="F6" s="10"/>
      <c r="G6" s="11">
        <v>125</v>
      </c>
      <c r="H6" s="11">
        <v>40</v>
      </c>
      <c r="I6" s="11"/>
      <c r="J6" s="12">
        <f t="shared" si="0"/>
        <v>165</v>
      </c>
    </row>
    <row r="7" spans="1:10" x14ac:dyDescent="0.8">
      <c r="A7" s="10" t="s">
        <v>46</v>
      </c>
      <c r="B7" s="10" t="s">
        <v>52</v>
      </c>
      <c r="C7" s="10" t="s">
        <v>24</v>
      </c>
      <c r="D7" s="10" t="s">
        <v>15</v>
      </c>
      <c r="E7" s="10"/>
      <c r="F7" s="10"/>
      <c r="G7" s="11">
        <v>40</v>
      </c>
      <c r="H7" s="11"/>
      <c r="I7" s="11"/>
      <c r="J7" s="12">
        <f t="shared" si="0"/>
        <v>40</v>
      </c>
    </row>
    <row r="8" spans="1:10" x14ac:dyDescent="0.8">
      <c r="A8" s="10" t="s">
        <v>46</v>
      </c>
      <c r="B8" s="10" t="s">
        <v>53</v>
      </c>
      <c r="C8" s="10" t="s">
        <v>20</v>
      </c>
      <c r="D8" s="10" t="s">
        <v>8</v>
      </c>
      <c r="E8" s="10"/>
      <c r="F8" s="10" t="s">
        <v>9</v>
      </c>
      <c r="G8" s="11">
        <v>125</v>
      </c>
      <c r="H8" s="11"/>
      <c r="I8" s="11">
        <v>40</v>
      </c>
      <c r="J8" s="12">
        <f t="shared" si="0"/>
        <v>165</v>
      </c>
    </row>
    <row r="9" spans="1:10" ht="17.149999999999999" customHeight="1" x14ac:dyDescent="0.8">
      <c r="A9" s="10" t="s">
        <v>46</v>
      </c>
      <c r="B9" s="10" t="s">
        <v>54</v>
      </c>
      <c r="C9" s="10" t="s">
        <v>24</v>
      </c>
      <c r="D9" s="10" t="s">
        <v>8</v>
      </c>
      <c r="E9" s="10" t="s">
        <v>9</v>
      </c>
      <c r="F9" s="10"/>
      <c r="G9" s="11">
        <v>125</v>
      </c>
      <c r="H9" s="11">
        <v>40</v>
      </c>
      <c r="I9" s="11"/>
      <c r="J9" s="12">
        <f t="shared" si="0"/>
        <v>165</v>
      </c>
    </row>
    <row r="10" spans="1:10" x14ac:dyDescent="0.8">
      <c r="A10" s="10" t="s">
        <v>46</v>
      </c>
      <c r="B10" s="10" t="s">
        <v>55</v>
      </c>
      <c r="C10" s="10" t="s">
        <v>20</v>
      </c>
      <c r="D10" s="10" t="s">
        <v>8</v>
      </c>
      <c r="E10" s="10" t="s">
        <v>9</v>
      </c>
      <c r="F10" s="10"/>
      <c r="G10" s="11">
        <v>125</v>
      </c>
      <c r="H10" s="11">
        <v>40</v>
      </c>
      <c r="I10" s="11"/>
      <c r="J10" s="12">
        <f t="shared" si="0"/>
        <v>165</v>
      </c>
    </row>
    <row r="11" spans="1:10" x14ac:dyDescent="0.8">
      <c r="A11" s="10" t="s">
        <v>46</v>
      </c>
      <c r="B11" s="10" t="s">
        <v>56</v>
      </c>
      <c r="C11" s="10" t="s">
        <v>24</v>
      </c>
      <c r="D11" s="10" t="s">
        <v>15</v>
      </c>
      <c r="E11" s="10"/>
      <c r="F11" s="10"/>
      <c r="G11" s="11">
        <v>40</v>
      </c>
      <c r="H11" s="11"/>
      <c r="I11" s="11"/>
      <c r="J11" s="12">
        <f t="shared" si="0"/>
        <v>40</v>
      </c>
    </row>
    <row r="12" spans="1:10" x14ac:dyDescent="0.8">
      <c r="A12" s="10" t="s">
        <v>46</v>
      </c>
      <c r="B12" s="10" t="s">
        <v>57</v>
      </c>
      <c r="C12" s="10" t="s">
        <v>20</v>
      </c>
      <c r="D12" s="10" t="s">
        <v>8</v>
      </c>
      <c r="E12" s="10" t="s">
        <v>21</v>
      </c>
      <c r="F12" s="10"/>
      <c r="G12" s="11">
        <v>125</v>
      </c>
      <c r="H12" s="11">
        <v>45</v>
      </c>
      <c r="I12" s="11"/>
      <c r="J12" s="12">
        <f t="shared" si="0"/>
        <v>170</v>
      </c>
    </row>
    <row r="13" spans="1:10" x14ac:dyDescent="0.8">
      <c r="A13" s="10" t="s">
        <v>46</v>
      </c>
      <c r="B13" s="10" t="s">
        <v>58</v>
      </c>
      <c r="C13" s="10" t="s">
        <v>24</v>
      </c>
      <c r="D13" s="10" t="s">
        <v>15</v>
      </c>
      <c r="E13" s="10"/>
      <c r="F13" s="10"/>
      <c r="G13" s="11">
        <v>40</v>
      </c>
      <c r="H13" s="11"/>
      <c r="I13" s="11"/>
      <c r="J13" s="12">
        <v>40</v>
      </c>
    </row>
    <row r="14" spans="1:10" x14ac:dyDescent="0.8">
      <c r="G14" s="32"/>
      <c r="H14" s="32"/>
      <c r="I14" s="32"/>
      <c r="J14" s="13">
        <f>SUM(J2:J13)</f>
        <v>1385</v>
      </c>
    </row>
  </sheetData>
  <conditionalFormatting sqref="B2:B13">
    <cfRule type="duplicateValues" dxfId="17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A2" sqref="A2:XFD16"/>
    </sheetView>
  </sheetViews>
  <sheetFormatPr defaultRowHeight="16" x14ac:dyDescent="0.8"/>
  <cols>
    <col min="1" max="4" width="25.0390625" customWidth="1"/>
    <col min="5" max="5" width="50.1640625" customWidth="1"/>
    <col min="6" max="6" width="41.7890625" customWidth="1"/>
    <col min="7" max="7" width="16.2890625" style="8" customWidth="1"/>
    <col min="8" max="8" width="16.1640625" style="8" customWidth="1"/>
    <col min="9" max="9" width="12.95703125" style="8" customWidth="1"/>
    <col min="10" max="10" width="10.5" customWidth="1"/>
    <col min="11" max="994" width="25.0390625" customWidth="1"/>
  </cols>
  <sheetData>
    <row r="1" spans="1:10" s="26" customFormat="1" x14ac:dyDescent="0.8">
      <c r="A1" s="21" t="s">
        <v>0</v>
      </c>
      <c r="B1" s="21" t="s">
        <v>1</v>
      </c>
      <c r="C1" s="21" t="s">
        <v>2</v>
      </c>
      <c r="D1" s="22" t="s">
        <v>3</v>
      </c>
      <c r="E1" s="33" t="s">
        <v>4</v>
      </c>
      <c r="F1" s="33" t="s">
        <v>4</v>
      </c>
      <c r="G1" s="30" t="s">
        <v>100</v>
      </c>
      <c r="H1" s="30" t="s">
        <v>98</v>
      </c>
      <c r="I1" s="30" t="s">
        <v>99</v>
      </c>
      <c r="J1" s="31" t="s">
        <v>97</v>
      </c>
    </row>
    <row r="2" spans="1:10" x14ac:dyDescent="0.8">
      <c r="A2" s="10" t="s">
        <v>5</v>
      </c>
      <c r="B2" s="10" t="s">
        <v>6</v>
      </c>
      <c r="C2" s="10" t="s">
        <v>7</v>
      </c>
      <c r="D2" s="10" t="s">
        <v>8</v>
      </c>
      <c r="E2" s="10" t="s">
        <v>9</v>
      </c>
      <c r="F2" s="10"/>
      <c r="G2" s="11">
        <v>125</v>
      </c>
      <c r="H2" s="11">
        <v>40</v>
      </c>
      <c r="I2" s="11"/>
      <c r="J2" s="12">
        <f>SUM(G2:I2)</f>
        <v>165</v>
      </c>
    </row>
    <row r="3" spans="1:10" x14ac:dyDescent="0.8">
      <c r="A3" s="10" t="s">
        <v>5</v>
      </c>
      <c r="B3" s="10" t="s">
        <v>11</v>
      </c>
      <c r="C3" s="10" t="s">
        <v>7</v>
      </c>
      <c r="D3" s="10" t="s">
        <v>8</v>
      </c>
      <c r="E3" s="10"/>
      <c r="F3" s="10"/>
      <c r="G3" s="11">
        <v>125</v>
      </c>
      <c r="H3" s="11"/>
      <c r="I3" s="11"/>
      <c r="J3" s="12">
        <f t="shared" ref="J3:J14" si="0">SUM(G3:I3)</f>
        <v>125</v>
      </c>
    </row>
    <row r="4" spans="1:10" x14ac:dyDescent="0.8">
      <c r="A4" s="10" t="s">
        <v>5</v>
      </c>
      <c r="B4" s="10" t="s">
        <v>12</v>
      </c>
      <c r="C4" s="10" t="s">
        <v>7</v>
      </c>
      <c r="D4" s="10" t="s">
        <v>8</v>
      </c>
      <c r="E4" s="10" t="s">
        <v>9</v>
      </c>
      <c r="F4" s="10"/>
      <c r="G4" s="11">
        <v>125</v>
      </c>
      <c r="H4" s="11">
        <v>40</v>
      </c>
      <c r="I4" s="11"/>
      <c r="J4" s="12">
        <f t="shared" si="0"/>
        <v>165</v>
      </c>
    </row>
    <row r="5" spans="1:10" x14ac:dyDescent="0.8">
      <c r="A5" s="10" t="s">
        <v>5</v>
      </c>
      <c r="B5" s="10" t="s">
        <v>13</v>
      </c>
      <c r="C5" s="10" t="s">
        <v>7</v>
      </c>
      <c r="D5" s="10" t="s">
        <v>8</v>
      </c>
      <c r="E5" s="10"/>
      <c r="F5" s="10"/>
      <c r="G5" s="11">
        <v>125</v>
      </c>
      <c r="H5" s="11"/>
      <c r="I5" s="11"/>
      <c r="J5" s="12">
        <f t="shared" si="0"/>
        <v>125</v>
      </c>
    </row>
    <row r="6" spans="1:10" x14ac:dyDescent="0.8">
      <c r="A6" s="10" t="s">
        <v>5</v>
      </c>
      <c r="B6" s="10" t="s">
        <v>14</v>
      </c>
      <c r="C6" s="10" t="s">
        <v>7</v>
      </c>
      <c r="D6" s="10" t="s">
        <v>15</v>
      </c>
      <c r="E6" s="10"/>
      <c r="F6" s="10"/>
      <c r="G6" s="11">
        <v>40</v>
      </c>
      <c r="H6" s="11"/>
      <c r="I6" s="11"/>
      <c r="J6" s="12">
        <f t="shared" si="0"/>
        <v>40</v>
      </c>
    </row>
    <row r="7" spans="1:10" x14ac:dyDescent="0.8">
      <c r="A7" s="10" t="s">
        <v>5</v>
      </c>
      <c r="B7" s="10" t="s">
        <v>16</v>
      </c>
      <c r="C7" s="10" t="s">
        <v>7</v>
      </c>
      <c r="D7" s="10" t="s">
        <v>17</v>
      </c>
      <c r="E7" s="10" t="s">
        <v>9</v>
      </c>
      <c r="F7" s="10"/>
      <c r="G7" s="11">
        <v>105</v>
      </c>
      <c r="H7" s="11">
        <v>40</v>
      </c>
      <c r="I7" s="11"/>
      <c r="J7" s="12">
        <f t="shared" si="0"/>
        <v>145</v>
      </c>
    </row>
    <row r="8" spans="1:10" x14ac:dyDescent="0.8">
      <c r="A8" s="10" t="s">
        <v>5</v>
      </c>
      <c r="B8" s="10" t="s">
        <v>18</v>
      </c>
      <c r="C8" s="10" t="s">
        <v>7</v>
      </c>
      <c r="D8" s="10" t="s">
        <v>17</v>
      </c>
      <c r="E8" s="10" t="s">
        <v>9</v>
      </c>
      <c r="F8" s="10"/>
      <c r="G8" s="11">
        <v>105</v>
      </c>
      <c r="H8" s="11">
        <v>40</v>
      </c>
      <c r="I8" s="11"/>
      <c r="J8" s="12">
        <f t="shared" si="0"/>
        <v>145</v>
      </c>
    </row>
    <row r="9" spans="1:10" x14ac:dyDescent="0.8">
      <c r="A9" s="10" t="s">
        <v>5</v>
      </c>
      <c r="B9" s="10" t="s">
        <v>19</v>
      </c>
      <c r="C9" s="10" t="s">
        <v>20</v>
      </c>
      <c r="D9" s="10" t="s">
        <v>8</v>
      </c>
      <c r="E9" s="10" t="s">
        <v>21</v>
      </c>
      <c r="F9" s="10" t="s">
        <v>9</v>
      </c>
      <c r="G9" s="11">
        <v>125</v>
      </c>
      <c r="H9" s="11">
        <v>45</v>
      </c>
      <c r="I9" s="11">
        <v>40</v>
      </c>
      <c r="J9" s="12">
        <f t="shared" si="0"/>
        <v>210</v>
      </c>
    </row>
    <row r="10" spans="1:10" x14ac:dyDescent="0.8">
      <c r="A10" s="10" t="s">
        <v>5</v>
      </c>
      <c r="B10" s="10" t="s">
        <v>22</v>
      </c>
      <c r="C10" s="10" t="s">
        <v>20</v>
      </c>
      <c r="D10" s="10" t="s">
        <v>8</v>
      </c>
      <c r="E10" s="10"/>
      <c r="F10" s="10" t="s">
        <v>9</v>
      </c>
      <c r="G10" s="11">
        <v>125</v>
      </c>
      <c r="H10" s="11"/>
      <c r="I10" s="11">
        <v>40</v>
      </c>
      <c r="J10" s="12">
        <f t="shared" si="0"/>
        <v>165</v>
      </c>
    </row>
    <row r="11" spans="1:10" x14ac:dyDescent="0.8">
      <c r="A11" s="10" t="s">
        <v>5</v>
      </c>
      <c r="B11" s="10" t="s">
        <v>23</v>
      </c>
      <c r="C11" s="10" t="s">
        <v>24</v>
      </c>
      <c r="D11" s="10" t="s">
        <v>8</v>
      </c>
      <c r="E11" s="10" t="s">
        <v>9</v>
      </c>
      <c r="F11" s="10" t="s">
        <v>21</v>
      </c>
      <c r="G11" s="11">
        <v>125</v>
      </c>
      <c r="H11" s="11">
        <v>40</v>
      </c>
      <c r="I11" s="11">
        <v>45</v>
      </c>
      <c r="J11" s="12">
        <f t="shared" si="0"/>
        <v>210</v>
      </c>
    </row>
    <row r="12" spans="1:10" x14ac:dyDescent="0.8">
      <c r="A12" s="10" t="s">
        <v>5</v>
      </c>
      <c r="B12" s="10" t="s">
        <v>25</v>
      </c>
      <c r="C12" s="10" t="s">
        <v>20</v>
      </c>
      <c r="D12" s="10" t="s">
        <v>8</v>
      </c>
      <c r="E12" s="10" t="s">
        <v>9</v>
      </c>
      <c r="F12" s="10"/>
      <c r="G12" s="11">
        <v>125</v>
      </c>
      <c r="H12" s="11">
        <v>40</v>
      </c>
      <c r="I12" s="11"/>
      <c r="J12" s="12">
        <f t="shared" si="0"/>
        <v>165</v>
      </c>
    </row>
    <row r="13" spans="1:10" x14ac:dyDescent="0.8">
      <c r="A13" s="10" t="s">
        <v>5</v>
      </c>
      <c r="B13" s="10" t="s">
        <v>26</v>
      </c>
      <c r="C13" s="10" t="s">
        <v>20</v>
      </c>
      <c r="D13" s="10" t="s">
        <v>8</v>
      </c>
      <c r="E13" s="10" t="s">
        <v>9</v>
      </c>
      <c r="F13" s="10"/>
      <c r="G13" s="11">
        <v>125</v>
      </c>
      <c r="H13" s="11">
        <v>40</v>
      </c>
      <c r="I13" s="11"/>
      <c r="J13" s="12">
        <f t="shared" si="0"/>
        <v>165</v>
      </c>
    </row>
    <row r="14" spans="1:10" x14ac:dyDescent="0.8">
      <c r="A14" s="10" t="s">
        <v>5</v>
      </c>
      <c r="B14" s="10" t="s">
        <v>27</v>
      </c>
      <c r="C14" s="10" t="s">
        <v>20</v>
      </c>
      <c r="D14" s="10" t="s">
        <v>8</v>
      </c>
      <c r="E14" s="10" t="s">
        <v>9</v>
      </c>
      <c r="F14" s="10"/>
      <c r="G14" s="11">
        <v>125</v>
      </c>
      <c r="H14" s="11">
        <v>40</v>
      </c>
      <c r="I14" s="11"/>
      <c r="J14" s="12">
        <f t="shared" si="0"/>
        <v>165</v>
      </c>
    </row>
    <row r="15" spans="1:10" x14ac:dyDescent="0.8">
      <c r="A15" s="10" t="s">
        <v>5</v>
      </c>
      <c r="B15" s="34" t="s">
        <v>101</v>
      </c>
      <c r="C15" s="10" t="s">
        <v>20</v>
      </c>
      <c r="D15" s="35" t="s">
        <v>33</v>
      </c>
      <c r="E15" s="10"/>
      <c r="F15" s="10"/>
      <c r="G15" s="11">
        <v>85</v>
      </c>
      <c r="H15" s="11"/>
      <c r="I15" s="11"/>
      <c r="J15" s="12">
        <f>SUM(G15:I15)</f>
        <v>85</v>
      </c>
    </row>
    <row r="16" spans="1:10" x14ac:dyDescent="0.8">
      <c r="A16" s="10" t="s">
        <v>5</v>
      </c>
      <c r="B16" s="34" t="s">
        <v>102</v>
      </c>
      <c r="C16" s="10" t="s">
        <v>20</v>
      </c>
      <c r="D16" s="10" t="s">
        <v>17</v>
      </c>
      <c r="E16" s="10"/>
      <c r="F16" s="10" t="s">
        <v>9</v>
      </c>
      <c r="G16" s="11">
        <v>105</v>
      </c>
      <c r="H16" s="11"/>
      <c r="I16" s="11">
        <v>40</v>
      </c>
      <c r="J16" s="12">
        <f>SUM(G16:I16)</f>
        <v>145</v>
      </c>
    </row>
    <row r="17" spans="7:10" x14ac:dyDescent="0.8">
      <c r="G17" s="32"/>
      <c r="H17" s="32"/>
      <c r="I17" s="32"/>
      <c r="J17" s="13">
        <f>SUM(J2:J16)</f>
        <v>2220</v>
      </c>
    </row>
    <row r="18" spans="7:10" x14ac:dyDescent="0.8">
      <c r="G18" s="32"/>
      <c r="H18" s="32"/>
      <c r="I18" s="32"/>
    </row>
    <row r="19" spans="7:10" x14ac:dyDescent="0.8">
      <c r="G19" s="32"/>
      <c r="H19" s="32"/>
      <c r="I19" s="32"/>
    </row>
    <row r="20" spans="7:10" x14ac:dyDescent="0.8">
      <c r="G20" s="32"/>
      <c r="H20" s="32"/>
      <c r="I20" s="32"/>
    </row>
    <row r="21" spans="7:10" x14ac:dyDescent="0.8">
      <c r="G21" s="32"/>
      <c r="H21" s="32"/>
      <c r="I21" s="32"/>
    </row>
    <row r="22" spans="7:10" x14ac:dyDescent="0.8">
      <c r="G22" s="32"/>
      <c r="H22" s="32"/>
      <c r="I22" s="32"/>
    </row>
  </sheetData>
  <phoneticPr fontId="18" type="noConversion"/>
  <conditionalFormatting sqref="B2:B16">
    <cfRule type="duplicateValues" dxfId="16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6B24-835D-4A37-A77B-C68CE9E732AF}">
  <dimension ref="A1:J16"/>
  <sheetViews>
    <sheetView workbookViewId="0">
      <selection activeCell="A18" sqref="A18"/>
    </sheetView>
  </sheetViews>
  <sheetFormatPr defaultColWidth="8.625" defaultRowHeight="16" x14ac:dyDescent="0.8"/>
  <cols>
    <col min="1" max="1" width="17.875" customWidth="1"/>
    <col min="2" max="4" width="25.0390625" customWidth="1"/>
    <col min="5" max="5" width="54.625" customWidth="1"/>
    <col min="6" max="6" width="61.7890625" customWidth="1"/>
    <col min="7" max="9" width="25.0390625" style="8" customWidth="1"/>
    <col min="10" max="994" width="25.0390625" customWidth="1"/>
  </cols>
  <sheetData>
    <row r="1" spans="1:10" s="26" customFormat="1" x14ac:dyDescent="0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4</v>
      </c>
      <c r="G1" s="24" t="s">
        <v>100</v>
      </c>
      <c r="H1" s="24" t="s">
        <v>98</v>
      </c>
      <c r="I1" s="24" t="s">
        <v>99</v>
      </c>
      <c r="J1" s="25" t="s">
        <v>97</v>
      </c>
    </row>
    <row r="2" spans="1:10" x14ac:dyDescent="0.8">
      <c r="A2" s="10" t="s">
        <v>59</v>
      </c>
      <c r="B2" s="10" t="s">
        <v>14</v>
      </c>
      <c r="C2" s="10" t="s">
        <v>7</v>
      </c>
      <c r="D2" s="10" t="s">
        <v>33</v>
      </c>
      <c r="E2" s="10" t="s">
        <v>9</v>
      </c>
      <c r="F2" s="10"/>
      <c r="G2" s="9">
        <v>85</v>
      </c>
      <c r="H2" s="9">
        <v>40</v>
      </c>
      <c r="I2" s="9"/>
      <c r="J2" s="14">
        <f>SUM(G2:I2)</f>
        <v>125</v>
      </c>
    </row>
    <row r="3" spans="1:10" x14ac:dyDescent="0.8">
      <c r="A3" s="10" t="s">
        <v>59</v>
      </c>
      <c r="B3" s="10" t="s">
        <v>60</v>
      </c>
      <c r="C3" s="10" t="s">
        <v>7</v>
      </c>
      <c r="D3" s="10" t="s">
        <v>8</v>
      </c>
      <c r="E3" s="10" t="s">
        <v>9</v>
      </c>
      <c r="F3" s="10"/>
      <c r="G3" s="9">
        <v>125</v>
      </c>
      <c r="H3" s="9">
        <v>40</v>
      </c>
      <c r="I3" s="9"/>
      <c r="J3" s="14">
        <f t="shared" ref="J3:J13" si="0">SUM(G3:I3)</f>
        <v>165</v>
      </c>
    </row>
    <row r="4" spans="1:10" x14ac:dyDescent="0.8">
      <c r="A4" s="10" t="s">
        <v>59</v>
      </c>
      <c r="B4" s="10" t="s">
        <v>61</v>
      </c>
      <c r="C4" s="10" t="s">
        <v>7</v>
      </c>
      <c r="D4" s="10" t="s">
        <v>33</v>
      </c>
      <c r="E4" s="10"/>
      <c r="F4" s="10" t="s">
        <v>9</v>
      </c>
      <c r="G4" s="9">
        <v>85</v>
      </c>
      <c r="H4" s="9"/>
      <c r="I4" s="9">
        <v>40</v>
      </c>
      <c r="J4" s="14">
        <f t="shared" si="0"/>
        <v>125</v>
      </c>
    </row>
    <row r="5" spans="1:10" x14ac:dyDescent="0.8">
      <c r="A5" s="10" t="s">
        <v>59</v>
      </c>
      <c r="B5" s="10" t="s">
        <v>62</v>
      </c>
      <c r="C5" s="10" t="s">
        <v>7</v>
      </c>
      <c r="D5" s="10" t="s">
        <v>8</v>
      </c>
      <c r="E5" s="10"/>
      <c r="F5" s="10"/>
      <c r="G5" s="9">
        <v>125</v>
      </c>
      <c r="H5" s="9"/>
      <c r="I5" s="9"/>
      <c r="J5" s="14">
        <f t="shared" si="0"/>
        <v>125</v>
      </c>
    </row>
    <row r="6" spans="1:10" x14ac:dyDescent="0.8">
      <c r="A6" s="10" t="s">
        <v>59</v>
      </c>
      <c r="B6" s="10" t="s">
        <v>63</v>
      </c>
      <c r="C6" s="10" t="s">
        <v>7</v>
      </c>
      <c r="D6" s="10" t="s">
        <v>33</v>
      </c>
      <c r="E6" s="10" t="s">
        <v>9</v>
      </c>
      <c r="F6" s="10"/>
      <c r="G6" s="9">
        <v>85</v>
      </c>
      <c r="H6" s="9">
        <v>40</v>
      </c>
      <c r="I6" s="9"/>
      <c r="J6" s="14">
        <f t="shared" si="0"/>
        <v>125</v>
      </c>
    </row>
    <row r="7" spans="1:10" x14ac:dyDescent="0.8">
      <c r="A7" s="10" t="s">
        <v>59</v>
      </c>
      <c r="B7" s="10" t="s">
        <v>64</v>
      </c>
      <c r="C7" s="10" t="s">
        <v>7</v>
      </c>
      <c r="D7" s="10" t="s">
        <v>15</v>
      </c>
      <c r="E7" s="10"/>
      <c r="F7" s="10"/>
      <c r="G7" s="9">
        <v>40</v>
      </c>
      <c r="H7" s="9"/>
      <c r="I7" s="9"/>
      <c r="J7" s="14">
        <f t="shared" si="0"/>
        <v>40</v>
      </c>
    </row>
    <row r="8" spans="1:10" x14ac:dyDescent="0.8">
      <c r="A8" s="10" t="s">
        <v>59</v>
      </c>
      <c r="B8" s="10" t="s">
        <v>65</v>
      </c>
      <c r="C8" s="10" t="s">
        <v>20</v>
      </c>
      <c r="D8" s="10" t="s">
        <v>8</v>
      </c>
      <c r="E8" s="10" t="s">
        <v>9</v>
      </c>
      <c r="F8" s="10"/>
      <c r="G8" s="9">
        <v>155</v>
      </c>
      <c r="H8" s="9">
        <v>40</v>
      </c>
      <c r="I8" s="9"/>
      <c r="J8" s="14">
        <f t="shared" si="0"/>
        <v>195</v>
      </c>
    </row>
    <row r="9" spans="1:10" x14ac:dyDescent="0.8">
      <c r="A9" s="10" t="s">
        <v>59</v>
      </c>
      <c r="B9" s="10" t="s">
        <v>66</v>
      </c>
      <c r="C9" s="10" t="s">
        <v>24</v>
      </c>
      <c r="D9" s="10" t="s">
        <v>8</v>
      </c>
      <c r="E9" s="10" t="s">
        <v>9</v>
      </c>
      <c r="F9" s="10"/>
      <c r="G9" s="9">
        <v>125</v>
      </c>
      <c r="H9" s="9">
        <v>40</v>
      </c>
      <c r="I9" s="9"/>
      <c r="J9" s="14">
        <f t="shared" si="0"/>
        <v>165</v>
      </c>
    </row>
    <row r="10" spans="1:10" x14ac:dyDescent="0.8">
      <c r="A10" s="10" t="s">
        <v>59</v>
      </c>
      <c r="B10" s="10" t="s">
        <v>67</v>
      </c>
      <c r="C10" s="10" t="s">
        <v>24</v>
      </c>
      <c r="D10" s="10" t="s">
        <v>33</v>
      </c>
      <c r="E10" s="10" t="s">
        <v>9</v>
      </c>
      <c r="F10" s="10"/>
      <c r="G10" s="9">
        <v>85</v>
      </c>
      <c r="H10" s="9">
        <v>40</v>
      </c>
      <c r="I10" s="9"/>
      <c r="J10" s="14">
        <f t="shared" si="0"/>
        <v>125</v>
      </c>
    </row>
    <row r="11" spans="1:10" x14ac:dyDescent="0.8">
      <c r="A11" s="10" t="s">
        <v>59</v>
      </c>
      <c r="B11" s="10" t="s">
        <v>68</v>
      </c>
      <c r="C11" s="10" t="s">
        <v>24</v>
      </c>
      <c r="D11" s="10" t="s">
        <v>8</v>
      </c>
      <c r="E11" s="10"/>
      <c r="F11" s="10"/>
      <c r="G11" s="9">
        <v>125</v>
      </c>
      <c r="H11" s="9"/>
      <c r="I11" s="9"/>
      <c r="J11" s="14">
        <f t="shared" si="0"/>
        <v>125</v>
      </c>
    </row>
    <row r="12" spans="1:10" x14ac:dyDescent="0.8">
      <c r="A12" s="10" t="s">
        <v>59</v>
      </c>
      <c r="B12" s="10" t="s">
        <v>69</v>
      </c>
      <c r="C12" s="10" t="s">
        <v>24</v>
      </c>
      <c r="D12" s="10" t="s">
        <v>8</v>
      </c>
      <c r="E12" s="10" t="s">
        <v>9</v>
      </c>
      <c r="F12" s="10"/>
      <c r="G12" s="9">
        <v>125</v>
      </c>
      <c r="H12" s="9">
        <v>40</v>
      </c>
      <c r="I12" s="9"/>
      <c r="J12" s="14">
        <f t="shared" si="0"/>
        <v>165</v>
      </c>
    </row>
    <row r="13" spans="1:10" x14ac:dyDescent="0.8">
      <c r="A13" s="10" t="s">
        <v>59</v>
      </c>
      <c r="B13" s="10" t="s">
        <v>70</v>
      </c>
      <c r="C13" s="10" t="s">
        <v>20</v>
      </c>
      <c r="D13" s="10" t="s">
        <v>8</v>
      </c>
      <c r="E13" s="10" t="s">
        <v>21</v>
      </c>
      <c r="F13" s="10" t="s">
        <v>9</v>
      </c>
      <c r="G13" s="9">
        <v>125</v>
      </c>
      <c r="H13" s="9">
        <v>45</v>
      </c>
      <c r="I13" s="9">
        <v>40</v>
      </c>
      <c r="J13" s="14">
        <f t="shared" si="0"/>
        <v>210</v>
      </c>
    </row>
    <row r="14" spans="1:10" x14ac:dyDescent="0.8">
      <c r="A14" s="10" t="s">
        <v>59</v>
      </c>
      <c r="B14" s="10" t="s">
        <v>71</v>
      </c>
      <c r="C14" s="10" t="s">
        <v>20</v>
      </c>
      <c r="D14" s="10" t="s">
        <v>17</v>
      </c>
      <c r="E14" s="10"/>
      <c r="F14" s="10" t="s">
        <v>9</v>
      </c>
      <c r="G14" s="9">
        <v>105</v>
      </c>
      <c r="H14" s="9"/>
      <c r="I14" s="9">
        <v>40</v>
      </c>
      <c r="J14" s="14">
        <f>SUM(G14:I14)</f>
        <v>145</v>
      </c>
    </row>
    <row r="15" spans="1:10" x14ac:dyDescent="0.8">
      <c r="A15" s="10" t="s">
        <v>59</v>
      </c>
      <c r="B15" s="10" t="s">
        <v>72</v>
      </c>
      <c r="C15" s="10" t="s">
        <v>20</v>
      </c>
      <c r="D15" s="10" t="s">
        <v>31</v>
      </c>
      <c r="E15" s="10"/>
      <c r="F15" s="10" t="s">
        <v>9</v>
      </c>
      <c r="G15" s="9">
        <v>125</v>
      </c>
      <c r="H15" s="9"/>
      <c r="I15" s="9">
        <v>40</v>
      </c>
      <c r="J15" s="14">
        <f>SUM(G15:I15)</f>
        <v>165</v>
      </c>
    </row>
    <row r="16" spans="1:10" x14ac:dyDescent="0.8">
      <c r="G16" s="32"/>
      <c r="H16" s="32"/>
      <c r="I16" s="32"/>
      <c r="J16" s="13">
        <f>SUM(J2:J15)</f>
        <v>2000</v>
      </c>
    </row>
  </sheetData>
  <phoneticPr fontId="2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9A48-D6DF-4211-8A3E-A169BF475BAF}">
  <dimension ref="A1:K13"/>
  <sheetViews>
    <sheetView workbookViewId="0">
      <selection activeCell="B7" sqref="B7"/>
    </sheetView>
  </sheetViews>
  <sheetFormatPr defaultRowHeight="16" x14ac:dyDescent="0.8"/>
  <cols>
    <col min="1" max="1" width="15.5390625" customWidth="1"/>
    <col min="2" max="2" width="14.1640625" customWidth="1"/>
    <col min="3" max="3" width="16.4140625" customWidth="1"/>
    <col min="4" max="4" width="19.625" customWidth="1"/>
    <col min="5" max="5" width="24.9140625" customWidth="1"/>
    <col min="6" max="6" width="33.0390625" customWidth="1"/>
    <col min="7" max="7" width="15.5390625" customWidth="1"/>
    <col min="8" max="9" width="12.45703125" customWidth="1"/>
    <col min="10" max="10" width="10.5" customWidth="1"/>
  </cols>
  <sheetData>
    <row r="1" spans="1:11" s="26" customFormat="1" ht="34.5" customHeight="1" x14ac:dyDescent="0.8">
      <c r="A1" s="21" t="s">
        <v>0</v>
      </c>
      <c r="B1" s="21" t="s">
        <v>1</v>
      </c>
      <c r="C1" s="22" t="s">
        <v>2</v>
      </c>
      <c r="D1" s="33" t="s">
        <v>3</v>
      </c>
      <c r="E1" s="33" t="s">
        <v>4</v>
      </c>
      <c r="F1" s="33" t="s">
        <v>4</v>
      </c>
      <c r="G1" s="30" t="s">
        <v>100</v>
      </c>
      <c r="H1" s="30" t="s">
        <v>98</v>
      </c>
      <c r="I1" s="30" t="s">
        <v>99</v>
      </c>
      <c r="J1" s="31" t="s">
        <v>97</v>
      </c>
    </row>
    <row r="2" spans="1:11" x14ac:dyDescent="0.8">
      <c r="A2" s="10" t="s">
        <v>73</v>
      </c>
      <c r="B2" s="10" t="s">
        <v>74</v>
      </c>
      <c r="C2" s="10" t="s">
        <v>7</v>
      </c>
      <c r="D2" s="10" t="s">
        <v>8</v>
      </c>
      <c r="E2" s="10" t="s">
        <v>9</v>
      </c>
      <c r="F2" s="10"/>
      <c r="G2" s="9">
        <v>125</v>
      </c>
      <c r="H2" s="9">
        <v>40</v>
      </c>
      <c r="I2" s="9"/>
      <c r="J2" s="9">
        <f>SUM(G2:I2)</f>
        <v>165</v>
      </c>
      <c r="K2" s="8"/>
    </row>
    <row r="3" spans="1:11" x14ac:dyDescent="0.8">
      <c r="A3" s="10" t="s">
        <v>73</v>
      </c>
      <c r="B3" s="10" t="s">
        <v>75</v>
      </c>
      <c r="C3" s="10" t="s">
        <v>7</v>
      </c>
      <c r="D3" s="10" t="s">
        <v>31</v>
      </c>
      <c r="E3" s="10" t="s">
        <v>9</v>
      </c>
      <c r="F3" s="10"/>
      <c r="G3" s="9">
        <v>125</v>
      </c>
      <c r="H3" s="9"/>
      <c r="I3" s="9"/>
      <c r="J3" s="9">
        <f t="shared" ref="J3:J12" si="0">SUM(G3:I3)</f>
        <v>125</v>
      </c>
      <c r="K3" s="8"/>
    </row>
    <row r="4" spans="1:11" x14ac:dyDescent="0.8">
      <c r="A4" s="10" t="s">
        <v>73</v>
      </c>
      <c r="B4" s="10" t="s">
        <v>76</v>
      </c>
      <c r="C4" s="10" t="s">
        <v>7</v>
      </c>
      <c r="D4" s="10" t="s">
        <v>15</v>
      </c>
      <c r="E4" s="10"/>
      <c r="F4" s="10"/>
      <c r="G4" s="9">
        <v>40</v>
      </c>
      <c r="H4" s="9"/>
      <c r="I4" s="9"/>
      <c r="J4" s="9">
        <f t="shared" si="0"/>
        <v>40</v>
      </c>
      <c r="K4" s="8"/>
    </row>
    <row r="5" spans="1:11" x14ac:dyDescent="0.8">
      <c r="A5" s="10" t="s">
        <v>73</v>
      </c>
      <c r="B5" s="10" t="s">
        <v>77</v>
      </c>
      <c r="C5" s="10" t="s">
        <v>7</v>
      </c>
      <c r="D5" s="10" t="s">
        <v>17</v>
      </c>
      <c r="E5" s="10" t="s">
        <v>9</v>
      </c>
      <c r="F5" s="10"/>
      <c r="G5" s="9">
        <v>105</v>
      </c>
      <c r="H5" s="9"/>
      <c r="I5" s="9"/>
      <c r="J5" s="9">
        <f t="shared" si="0"/>
        <v>105</v>
      </c>
      <c r="K5" s="8"/>
    </row>
    <row r="6" spans="1:11" x14ac:dyDescent="0.8">
      <c r="A6" s="10" t="s">
        <v>73</v>
      </c>
      <c r="B6" s="10" t="s">
        <v>78</v>
      </c>
      <c r="C6" s="10" t="s">
        <v>7</v>
      </c>
      <c r="D6" s="10" t="s">
        <v>8</v>
      </c>
      <c r="E6" s="10"/>
      <c r="F6" s="10" t="s">
        <v>9</v>
      </c>
      <c r="G6" s="9">
        <v>125</v>
      </c>
      <c r="H6" s="9"/>
      <c r="I6" s="9">
        <v>40</v>
      </c>
      <c r="J6" s="9">
        <f t="shared" si="0"/>
        <v>165</v>
      </c>
      <c r="K6" s="8"/>
    </row>
    <row r="7" spans="1:11" x14ac:dyDescent="0.8">
      <c r="A7" s="10" t="s">
        <v>73</v>
      </c>
      <c r="B7" s="10" t="s">
        <v>110</v>
      </c>
      <c r="C7" s="10" t="s">
        <v>24</v>
      </c>
      <c r="D7" s="10" t="s">
        <v>15</v>
      </c>
      <c r="E7" s="10"/>
      <c r="F7" s="10"/>
      <c r="G7" s="9">
        <v>40</v>
      </c>
      <c r="H7" s="9"/>
      <c r="I7" s="9"/>
      <c r="J7" s="9">
        <f t="shared" si="0"/>
        <v>40</v>
      </c>
      <c r="K7" s="8"/>
    </row>
    <row r="8" spans="1:11" x14ac:dyDescent="0.8">
      <c r="A8" s="10" t="s">
        <v>73</v>
      </c>
      <c r="B8" s="10" t="s">
        <v>79</v>
      </c>
      <c r="C8" s="10" t="s">
        <v>24</v>
      </c>
      <c r="D8" s="10" t="s">
        <v>15</v>
      </c>
      <c r="E8" s="10"/>
      <c r="F8" s="10"/>
      <c r="G8" s="9">
        <v>40</v>
      </c>
      <c r="H8" s="9"/>
      <c r="I8" s="9"/>
      <c r="J8" s="9">
        <f t="shared" si="0"/>
        <v>40</v>
      </c>
      <c r="K8" s="8"/>
    </row>
    <row r="9" spans="1:11" x14ac:dyDescent="0.8">
      <c r="A9" s="10" t="s">
        <v>73</v>
      </c>
      <c r="B9" s="10" t="s">
        <v>80</v>
      </c>
      <c r="C9" s="10" t="s">
        <v>24</v>
      </c>
      <c r="D9" s="10" t="s">
        <v>39</v>
      </c>
      <c r="E9" s="10"/>
      <c r="F9" s="10"/>
      <c r="G9" s="9">
        <v>55</v>
      </c>
      <c r="H9" s="9"/>
      <c r="I9" s="9"/>
      <c r="J9" s="9">
        <f t="shared" si="0"/>
        <v>55</v>
      </c>
      <c r="K9" s="8"/>
    </row>
    <row r="10" spans="1:11" x14ac:dyDescent="0.8">
      <c r="A10" s="10" t="s">
        <v>73</v>
      </c>
      <c r="B10" s="10" t="s">
        <v>81</v>
      </c>
      <c r="C10" s="10" t="s">
        <v>24</v>
      </c>
      <c r="D10" s="10" t="s">
        <v>8</v>
      </c>
      <c r="E10" s="10"/>
      <c r="F10" s="10"/>
      <c r="G10" s="9">
        <v>125</v>
      </c>
      <c r="H10" s="9"/>
      <c r="I10" s="9"/>
      <c r="J10" s="9">
        <f t="shared" si="0"/>
        <v>125</v>
      </c>
      <c r="K10" s="8"/>
    </row>
    <row r="11" spans="1:11" x14ac:dyDescent="0.8">
      <c r="A11" s="10" t="s">
        <v>73</v>
      </c>
      <c r="B11" s="10" t="s">
        <v>82</v>
      </c>
      <c r="C11" s="10" t="s">
        <v>24</v>
      </c>
      <c r="D11" s="10" t="s">
        <v>15</v>
      </c>
      <c r="E11" s="10"/>
      <c r="F11" s="10"/>
      <c r="G11" s="9">
        <v>40</v>
      </c>
      <c r="H11" s="9"/>
      <c r="I11" s="9"/>
      <c r="J11" s="9">
        <f t="shared" si="0"/>
        <v>40</v>
      </c>
      <c r="K11" s="8"/>
    </row>
    <row r="12" spans="1:11" x14ac:dyDescent="0.8">
      <c r="A12" s="10" t="s">
        <v>73</v>
      </c>
      <c r="B12" s="10" t="s">
        <v>83</v>
      </c>
      <c r="C12" s="10" t="s">
        <v>24</v>
      </c>
      <c r="D12" s="10" t="s">
        <v>17</v>
      </c>
      <c r="E12" s="10" t="s">
        <v>9</v>
      </c>
      <c r="F12" s="10"/>
      <c r="G12" s="9">
        <v>105</v>
      </c>
      <c r="H12" s="9">
        <v>40</v>
      </c>
      <c r="I12" s="9"/>
      <c r="J12" s="9">
        <f t="shared" si="0"/>
        <v>145</v>
      </c>
      <c r="K12" s="8"/>
    </row>
    <row r="13" spans="1:11" x14ac:dyDescent="0.8">
      <c r="J13" s="36">
        <f>SUM(J2:J12)</f>
        <v>1045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7D2A-E7A4-40A7-8CE0-EEBD2F4B9459}">
  <dimension ref="A1:J3"/>
  <sheetViews>
    <sheetView workbookViewId="0">
      <selection activeCell="A2" sqref="A2:XFD2"/>
    </sheetView>
  </sheetViews>
  <sheetFormatPr defaultRowHeight="16" x14ac:dyDescent="0.8"/>
  <cols>
    <col min="1" max="1" width="15.2890625" customWidth="1"/>
    <col min="2" max="2" width="16.1640625" customWidth="1"/>
    <col min="3" max="3" width="19.375" customWidth="1"/>
    <col min="4" max="4" width="19.83203125" customWidth="1"/>
    <col min="5" max="5" width="24.6640625" customWidth="1"/>
    <col min="6" max="6" width="20.08203125" customWidth="1"/>
    <col min="7" max="7" width="17" style="8" customWidth="1"/>
    <col min="8" max="8" width="13.4140625" style="8" customWidth="1"/>
    <col min="9" max="9" width="14.4140625" style="8" customWidth="1"/>
    <col min="10" max="10" width="11.45703125" style="8" customWidth="1"/>
  </cols>
  <sheetData>
    <row r="1" spans="1:10" s="26" customFormat="1" ht="31.4" customHeight="1" x14ac:dyDescent="0.8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4</v>
      </c>
      <c r="G1" s="24" t="s">
        <v>100</v>
      </c>
      <c r="H1" s="24" t="s">
        <v>98</v>
      </c>
      <c r="I1" s="24" t="s">
        <v>99</v>
      </c>
      <c r="J1" s="25" t="s">
        <v>97</v>
      </c>
    </row>
    <row r="2" spans="1:10" x14ac:dyDescent="0.8">
      <c r="A2" s="10" t="s">
        <v>84</v>
      </c>
      <c r="B2" s="10" t="s">
        <v>85</v>
      </c>
      <c r="C2" s="10" t="s">
        <v>24</v>
      </c>
      <c r="D2" s="10" t="s">
        <v>33</v>
      </c>
      <c r="E2" s="10" t="s">
        <v>9</v>
      </c>
      <c r="F2" s="10"/>
      <c r="G2" s="9">
        <v>85</v>
      </c>
      <c r="H2" s="9">
        <v>40</v>
      </c>
      <c r="I2" s="9"/>
      <c r="J2" s="19">
        <v>125</v>
      </c>
    </row>
    <row r="3" spans="1:10" x14ac:dyDescent="0.8">
      <c r="A3" s="10"/>
      <c r="B3" s="10"/>
      <c r="C3" s="10"/>
      <c r="D3" s="10"/>
      <c r="E3" s="10"/>
      <c r="F3" s="10"/>
      <c r="G3" s="9"/>
      <c r="H3" s="9"/>
      <c r="I3" s="11"/>
      <c r="J3" s="20">
        <f>SUM(J2:J2)</f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DA89-6EA8-4CA4-BC63-D4D516DEC4CB}">
  <sheetPr>
    <tabColor rgb="FFFF0000"/>
  </sheetPr>
  <dimension ref="A1:E59"/>
  <sheetViews>
    <sheetView workbookViewId="0">
      <selection sqref="A1:E5"/>
    </sheetView>
  </sheetViews>
  <sheetFormatPr defaultRowHeight="16" x14ac:dyDescent="0.8"/>
  <cols>
    <col min="1" max="1" width="12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x14ac:dyDescent="0.8">
      <c r="A1" s="218" t="s">
        <v>86</v>
      </c>
      <c r="B1" s="219"/>
      <c r="C1" s="38" t="s">
        <v>88</v>
      </c>
      <c r="D1" s="223">
        <v>44745</v>
      </c>
      <c r="E1" s="224"/>
    </row>
    <row r="2" spans="1:5" x14ac:dyDescent="0.8">
      <c r="A2" s="218" t="s">
        <v>87</v>
      </c>
      <c r="B2" s="219"/>
      <c r="C2" s="38" t="s">
        <v>90</v>
      </c>
      <c r="D2" s="223">
        <v>44744</v>
      </c>
      <c r="E2" s="224"/>
    </row>
    <row r="3" spans="1:5" x14ac:dyDescent="0.8">
      <c r="A3" s="218" t="s">
        <v>89</v>
      </c>
      <c r="B3" s="219"/>
      <c r="C3" s="38" t="s">
        <v>92</v>
      </c>
      <c r="D3" s="220">
        <v>41</v>
      </c>
      <c r="E3" s="221"/>
    </row>
    <row r="4" spans="1:5" x14ac:dyDescent="0.8">
      <c r="A4" s="218" t="s">
        <v>91</v>
      </c>
      <c r="B4" s="219"/>
      <c r="C4" s="38" t="s">
        <v>94</v>
      </c>
      <c r="D4" s="220" t="s">
        <v>95</v>
      </c>
      <c r="E4" s="221"/>
    </row>
    <row r="5" spans="1:5" x14ac:dyDescent="0.8">
      <c r="A5" s="218" t="s">
        <v>93</v>
      </c>
      <c r="B5" s="219"/>
      <c r="C5" s="38" t="s">
        <v>109</v>
      </c>
      <c r="D5" s="222">
        <f>GETPIVOTDATA("Sum of Total",$A$6)</f>
        <v>6785</v>
      </c>
      <c r="E5" s="222"/>
    </row>
    <row r="6" spans="1:5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x14ac:dyDescent="0.8">
      <c r="A7" s="37" t="s">
        <v>83</v>
      </c>
      <c r="B7" s="14">
        <v>105</v>
      </c>
      <c r="C7" s="14">
        <v>40</v>
      </c>
      <c r="D7" s="14"/>
      <c r="E7" s="14">
        <v>145</v>
      </c>
    </row>
    <row r="8" spans="1:5" x14ac:dyDescent="0.8">
      <c r="A8" s="37" t="s">
        <v>66</v>
      </c>
      <c r="B8" s="14">
        <v>125</v>
      </c>
      <c r="C8" s="14">
        <v>40</v>
      </c>
      <c r="D8" s="14"/>
      <c r="E8" s="14">
        <v>165</v>
      </c>
    </row>
    <row r="9" spans="1:5" x14ac:dyDescent="0.8">
      <c r="A9" s="37" t="s">
        <v>54</v>
      </c>
      <c r="B9" s="14">
        <v>125</v>
      </c>
      <c r="C9" s="14">
        <v>40</v>
      </c>
      <c r="D9" s="14"/>
      <c r="E9" s="14">
        <v>165</v>
      </c>
    </row>
    <row r="10" spans="1:5" x14ac:dyDescent="0.8">
      <c r="A10" s="37" t="s">
        <v>19</v>
      </c>
      <c r="B10" s="14">
        <v>125</v>
      </c>
      <c r="C10" s="14">
        <v>45</v>
      </c>
      <c r="D10" s="14">
        <v>40</v>
      </c>
      <c r="E10" s="14">
        <v>210</v>
      </c>
    </row>
    <row r="11" spans="1:5" x14ac:dyDescent="0.8">
      <c r="A11" s="37" t="s">
        <v>72</v>
      </c>
      <c r="B11" s="14">
        <v>125</v>
      </c>
      <c r="C11" s="14"/>
      <c r="D11" s="14">
        <v>40</v>
      </c>
      <c r="E11" s="14">
        <v>165</v>
      </c>
    </row>
    <row r="12" spans="1:5" x14ac:dyDescent="0.8">
      <c r="A12" s="37" t="s">
        <v>110</v>
      </c>
      <c r="B12" s="14">
        <v>40</v>
      </c>
      <c r="C12" s="14"/>
      <c r="D12" s="14"/>
      <c r="E12" s="14">
        <v>40</v>
      </c>
    </row>
    <row r="13" spans="1:5" x14ac:dyDescent="0.8">
      <c r="A13" s="37" t="s">
        <v>63</v>
      </c>
      <c r="B13" s="14">
        <v>85</v>
      </c>
      <c r="C13" s="14">
        <v>40</v>
      </c>
      <c r="D13" s="14"/>
      <c r="E13" s="14">
        <v>125</v>
      </c>
    </row>
    <row r="14" spans="1:5" x14ac:dyDescent="0.8">
      <c r="A14" s="37" t="s">
        <v>23</v>
      </c>
      <c r="B14" s="14">
        <v>125</v>
      </c>
      <c r="C14" s="14">
        <v>40</v>
      </c>
      <c r="D14" s="14">
        <v>45</v>
      </c>
      <c r="E14" s="14">
        <v>210</v>
      </c>
    </row>
    <row r="15" spans="1:5" x14ac:dyDescent="0.8">
      <c r="A15" s="37" t="s">
        <v>85</v>
      </c>
      <c r="B15" s="14">
        <v>85</v>
      </c>
      <c r="C15" s="14">
        <v>40</v>
      </c>
      <c r="D15" s="14"/>
      <c r="E15" s="14">
        <v>125</v>
      </c>
    </row>
    <row r="16" spans="1:5" x14ac:dyDescent="0.8">
      <c r="A16" s="37" t="s">
        <v>81</v>
      </c>
      <c r="B16" s="14">
        <v>125</v>
      </c>
      <c r="C16" s="14"/>
      <c r="D16" s="14"/>
      <c r="E16" s="14">
        <v>125</v>
      </c>
    </row>
    <row r="17" spans="1:5" x14ac:dyDescent="0.8">
      <c r="A17" s="37" t="s">
        <v>58</v>
      </c>
      <c r="B17" s="14">
        <v>40</v>
      </c>
      <c r="C17" s="14"/>
      <c r="D17" s="14"/>
      <c r="E17" s="14">
        <v>40</v>
      </c>
    </row>
    <row r="18" spans="1:5" x14ac:dyDescent="0.8">
      <c r="A18" s="37" t="s">
        <v>80</v>
      </c>
      <c r="B18" s="14">
        <v>55</v>
      </c>
      <c r="C18" s="14"/>
      <c r="D18" s="14"/>
      <c r="E18" s="14">
        <v>55</v>
      </c>
    </row>
    <row r="19" spans="1:5" x14ac:dyDescent="0.8">
      <c r="A19" s="37" t="s">
        <v>56</v>
      </c>
      <c r="B19" s="14">
        <v>40</v>
      </c>
      <c r="C19" s="14"/>
      <c r="D19" s="14"/>
      <c r="E19" s="14">
        <v>40</v>
      </c>
    </row>
    <row r="20" spans="1:5" x14ac:dyDescent="0.8">
      <c r="A20" s="37" t="s">
        <v>55</v>
      </c>
      <c r="B20" s="14">
        <v>125</v>
      </c>
      <c r="C20" s="14">
        <v>40</v>
      </c>
      <c r="D20" s="14"/>
      <c r="E20" s="14">
        <v>165</v>
      </c>
    </row>
    <row r="21" spans="1:5" x14ac:dyDescent="0.8">
      <c r="A21" s="37" t="s">
        <v>22</v>
      </c>
      <c r="B21" s="14">
        <v>125</v>
      </c>
      <c r="C21" s="14"/>
      <c r="D21" s="14">
        <v>40</v>
      </c>
      <c r="E21" s="14">
        <v>165</v>
      </c>
    </row>
    <row r="22" spans="1:5" x14ac:dyDescent="0.8">
      <c r="A22" s="37" t="s">
        <v>50</v>
      </c>
      <c r="B22" s="14">
        <v>85</v>
      </c>
      <c r="C22" s="14">
        <v>40</v>
      </c>
      <c r="D22" s="14"/>
      <c r="E22" s="14">
        <v>125</v>
      </c>
    </row>
    <row r="23" spans="1:5" x14ac:dyDescent="0.8">
      <c r="A23" s="37" t="s">
        <v>53</v>
      </c>
      <c r="B23" s="14">
        <v>125</v>
      </c>
      <c r="C23" s="14"/>
      <c r="D23" s="14">
        <v>40</v>
      </c>
      <c r="E23" s="14">
        <v>165</v>
      </c>
    </row>
    <row r="24" spans="1:5" x14ac:dyDescent="0.8">
      <c r="A24" s="37" t="s">
        <v>6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37" t="s">
        <v>64</v>
      </c>
      <c r="B25" s="14">
        <v>40</v>
      </c>
      <c r="C25" s="14"/>
      <c r="D25" s="14"/>
      <c r="E25" s="14">
        <v>40</v>
      </c>
    </row>
    <row r="26" spans="1:5" x14ac:dyDescent="0.8">
      <c r="A26" s="37" t="s">
        <v>14</v>
      </c>
      <c r="B26" s="14">
        <v>85</v>
      </c>
      <c r="C26" s="14">
        <v>40</v>
      </c>
      <c r="D26" s="14"/>
      <c r="E26" s="14">
        <v>125</v>
      </c>
    </row>
    <row r="27" spans="1:5" x14ac:dyDescent="0.8">
      <c r="A27" s="37" t="s">
        <v>76</v>
      </c>
      <c r="B27" s="14">
        <v>40</v>
      </c>
      <c r="C27" s="14"/>
      <c r="D27" s="14"/>
      <c r="E27" s="14">
        <v>40</v>
      </c>
    </row>
    <row r="28" spans="1:5" x14ac:dyDescent="0.8">
      <c r="A28" s="37" t="s">
        <v>25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27</v>
      </c>
      <c r="B29" s="14">
        <v>125</v>
      </c>
      <c r="C29" s="14">
        <v>40</v>
      </c>
      <c r="D29" s="14"/>
      <c r="E29" s="14">
        <v>165</v>
      </c>
    </row>
    <row r="30" spans="1:5" x14ac:dyDescent="0.8">
      <c r="A30" s="37" t="s">
        <v>11</v>
      </c>
      <c r="B30" s="14">
        <v>125</v>
      </c>
      <c r="C30" s="14"/>
      <c r="D30" s="14"/>
      <c r="E30" s="14">
        <v>125</v>
      </c>
    </row>
    <row r="31" spans="1:5" x14ac:dyDescent="0.8">
      <c r="A31" s="37" t="s">
        <v>70</v>
      </c>
      <c r="B31" s="14">
        <v>125</v>
      </c>
      <c r="C31" s="14">
        <v>45</v>
      </c>
      <c r="D31" s="14">
        <v>40</v>
      </c>
      <c r="E31" s="14">
        <v>210</v>
      </c>
    </row>
    <row r="32" spans="1:5" x14ac:dyDescent="0.8">
      <c r="A32" s="37" t="s">
        <v>26</v>
      </c>
      <c r="B32" s="14">
        <v>125</v>
      </c>
      <c r="C32" s="14">
        <v>40</v>
      </c>
      <c r="D32" s="14"/>
      <c r="E32" s="14">
        <v>165</v>
      </c>
    </row>
    <row r="33" spans="1:5" x14ac:dyDescent="0.8">
      <c r="A33" s="37" t="s">
        <v>12</v>
      </c>
      <c r="B33" s="14">
        <v>125</v>
      </c>
      <c r="C33" s="14">
        <v>40</v>
      </c>
      <c r="D33" s="14"/>
      <c r="E33" s="14">
        <v>165</v>
      </c>
    </row>
    <row r="34" spans="1:5" x14ac:dyDescent="0.8">
      <c r="A34" s="37" t="s">
        <v>67</v>
      </c>
      <c r="B34" s="14">
        <v>85</v>
      </c>
      <c r="C34" s="14">
        <v>40</v>
      </c>
      <c r="D34" s="14"/>
      <c r="E34" s="14">
        <v>125</v>
      </c>
    </row>
    <row r="35" spans="1:5" x14ac:dyDescent="0.8">
      <c r="A35" s="37" t="s">
        <v>48</v>
      </c>
      <c r="B35" s="14">
        <v>40</v>
      </c>
      <c r="C35" s="14"/>
      <c r="D35" s="14"/>
      <c r="E35" s="14">
        <v>40</v>
      </c>
    </row>
    <row r="36" spans="1:5" x14ac:dyDescent="0.8">
      <c r="A36" s="37" t="s">
        <v>62</v>
      </c>
      <c r="B36" s="14">
        <v>125</v>
      </c>
      <c r="C36" s="14"/>
      <c r="D36" s="14"/>
      <c r="E36" s="14">
        <v>125</v>
      </c>
    </row>
    <row r="37" spans="1:5" x14ac:dyDescent="0.8">
      <c r="A37" s="37" t="s">
        <v>68</v>
      </c>
      <c r="B37" s="14">
        <v>125</v>
      </c>
      <c r="C37" s="14"/>
      <c r="D37" s="14"/>
      <c r="E37" s="14">
        <v>125</v>
      </c>
    </row>
    <row r="38" spans="1:5" x14ac:dyDescent="0.8">
      <c r="A38" s="37" t="s">
        <v>69</v>
      </c>
      <c r="B38" s="14">
        <v>125</v>
      </c>
      <c r="C38" s="14">
        <v>40</v>
      </c>
      <c r="D38" s="14"/>
      <c r="E38" s="14">
        <v>165</v>
      </c>
    </row>
    <row r="39" spans="1:5" x14ac:dyDescent="0.8">
      <c r="A39" s="37" t="s">
        <v>101</v>
      </c>
      <c r="B39" s="14">
        <v>85</v>
      </c>
      <c r="C39" s="14"/>
      <c r="D39" s="14"/>
      <c r="E39" s="14">
        <v>85</v>
      </c>
    </row>
    <row r="40" spans="1:5" x14ac:dyDescent="0.8">
      <c r="A40" s="37" t="s">
        <v>102</v>
      </c>
      <c r="B40" s="14">
        <v>105</v>
      </c>
      <c r="C40" s="14"/>
      <c r="D40" s="14">
        <v>40</v>
      </c>
      <c r="E40" s="14">
        <v>145</v>
      </c>
    </row>
    <row r="41" spans="1:5" x14ac:dyDescent="0.8">
      <c r="A41" s="37" t="s">
        <v>74</v>
      </c>
      <c r="B41" s="14">
        <v>125</v>
      </c>
      <c r="C41" s="14">
        <v>40</v>
      </c>
      <c r="D41" s="14"/>
      <c r="E41" s="14">
        <v>165</v>
      </c>
    </row>
    <row r="42" spans="1:5" x14ac:dyDescent="0.8">
      <c r="A42" s="37" t="s">
        <v>57</v>
      </c>
      <c r="B42" s="14">
        <v>125</v>
      </c>
      <c r="C42" s="14">
        <v>45</v>
      </c>
      <c r="D42" s="14"/>
      <c r="E42" s="14">
        <v>170</v>
      </c>
    </row>
    <row r="43" spans="1:5" x14ac:dyDescent="0.8">
      <c r="A43" s="37" t="s">
        <v>13</v>
      </c>
      <c r="B43" s="14">
        <v>125</v>
      </c>
      <c r="C43" s="14">
        <v>40</v>
      </c>
      <c r="D43" s="14"/>
      <c r="E43" s="14">
        <v>165</v>
      </c>
    </row>
    <row r="44" spans="1:5" x14ac:dyDescent="0.8">
      <c r="A44" s="37" t="s">
        <v>49</v>
      </c>
      <c r="B44" s="14">
        <v>125</v>
      </c>
      <c r="C44" s="14">
        <v>40</v>
      </c>
      <c r="D44" s="14"/>
      <c r="E44" s="14">
        <v>165</v>
      </c>
    </row>
    <row r="45" spans="1:5" x14ac:dyDescent="0.8">
      <c r="A45" s="37" t="s">
        <v>52</v>
      </c>
      <c r="B45" s="14">
        <v>40</v>
      </c>
      <c r="C45" s="14"/>
      <c r="D45" s="14"/>
      <c r="E45" s="14">
        <v>40</v>
      </c>
    </row>
    <row r="46" spans="1:5" x14ac:dyDescent="0.8">
      <c r="A46" s="37" t="s">
        <v>51</v>
      </c>
      <c r="B46" s="14">
        <v>125</v>
      </c>
      <c r="C46" s="14">
        <v>40</v>
      </c>
      <c r="D46" s="14"/>
      <c r="E46" s="14">
        <v>165</v>
      </c>
    </row>
    <row r="47" spans="1:5" x14ac:dyDescent="0.8">
      <c r="A47" s="37" t="s">
        <v>47</v>
      </c>
      <c r="B47" s="14">
        <v>105</v>
      </c>
      <c r="C47" s="14"/>
      <c r="D47" s="14">
        <v>40</v>
      </c>
      <c r="E47" s="14">
        <v>145</v>
      </c>
    </row>
    <row r="48" spans="1:5" x14ac:dyDescent="0.8">
      <c r="A48" s="37" t="s">
        <v>78</v>
      </c>
      <c r="B48" s="14">
        <v>125</v>
      </c>
      <c r="C48" s="14"/>
      <c r="D48" s="14">
        <v>40</v>
      </c>
      <c r="E48" s="14">
        <v>165</v>
      </c>
    </row>
    <row r="49" spans="1:5" x14ac:dyDescent="0.8">
      <c r="A49" s="37" t="s">
        <v>60</v>
      </c>
      <c r="B49" s="14">
        <v>125</v>
      </c>
      <c r="C49" s="14">
        <v>40</v>
      </c>
      <c r="D49" s="14"/>
      <c r="E49" s="14">
        <v>165</v>
      </c>
    </row>
    <row r="50" spans="1:5" x14ac:dyDescent="0.8">
      <c r="A50" s="37" t="s">
        <v>61</v>
      </c>
      <c r="B50" s="14">
        <v>85</v>
      </c>
      <c r="C50" s="14"/>
      <c r="D50" s="14">
        <v>40</v>
      </c>
      <c r="E50" s="14">
        <v>125</v>
      </c>
    </row>
    <row r="51" spans="1:5" x14ac:dyDescent="0.8">
      <c r="A51" s="37" t="s">
        <v>16</v>
      </c>
      <c r="B51" s="14">
        <v>105</v>
      </c>
      <c r="C51" s="14">
        <v>40</v>
      </c>
      <c r="D51" s="14"/>
      <c r="E51" s="14">
        <v>145</v>
      </c>
    </row>
    <row r="52" spans="1:5" x14ac:dyDescent="0.8">
      <c r="A52" s="37" t="s">
        <v>65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77</v>
      </c>
      <c r="B53" s="14">
        <v>105</v>
      </c>
      <c r="C53" s="14"/>
      <c r="D53" s="14"/>
      <c r="E53" s="14">
        <v>105</v>
      </c>
    </row>
    <row r="54" spans="1:5" x14ac:dyDescent="0.8">
      <c r="A54" s="37" t="s">
        <v>18</v>
      </c>
      <c r="B54" s="14">
        <v>105</v>
      </c>
      <c r="C54" s="14">
        <v>40</v>
      </c>
      <c r="D54" s="14"/>
      <c r="E54" s="14">
        <v>145</v>
      </c>
    </row>
    <row r="55" spans="1:5" x14ac:dyDescent="0.8">
      <c r="A55" s="37" t="s">
        <v>71</v>
      </c>
      <c r="B55" s="14">
        <v>105</v>
      </c>
      <c r="C55" s="14"/>
      <c r="D55" s="14">
        <v>40</v>
      </c>
      <c r="E55" s="14">
        <v>145</v>
      </c>
    </row>
    <row r="56" spans="1:5" x14ac:dyDescent="0.8">
      <c r="A56" s="37" t="s">
        <v>82</v>
      </c>
      <c r="B56" s="14">
        <v>40</v>
      </c>
      <c r="C56" s="14"/>
      <c r="D56" s="14"/>
      <c r="E56" s="14">
        <v>40</v>
      </c>
    </row>
    <row r="57" spans="1:5" x14ac:dyDescent="0.8">
      <c r="A57" s="37" t="s">
        <v>75</v>
      </c>
      <c r="B57" s="14">
        <v>125</v>
      </c>
      <c r="C57" s="14"/>
      <c r="D57" s="14"/>
      <c r="E57" s="14">
        <v>125</v>
      </c>
    </row>
    <row r="58" spans="1:5" x14ac:dyDescent="0.8">
      <c r="A58" s="37" t="s">
        <v>79</v>
      </c>
      <c r="B58" s="14">
        <v>40</v>
      </c>
      <c r="C58" s="14"/>
      <c r="D58" s="14"/>
      <c r="E58" s="14">
        <v>40</v>
      </c>
    </row>
    <row r="59" spans="1:5" x14ac:dyDescent="0.8">
      <c r="A59" s="37" t="s">
        <v>104</v>
      </c>
      <c r="B59" s="14">
        <v>5245</v>
      </c>
      <c r="C59" s="14">
        <v>1095</v>
      </c>
      <c r="D59" s="14">
        <v>445</v>
      </c>
      <c r="E59" s="14">
        <v>6785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68" priority="3"/>
    <cfRule type="duplicateValues" dxfId="167" priority="4"/>
  </conditionalFormatting>
  <conditionalFormatting sqref="A1:A5">
    <cfRule type="duplicateValues" dxfId="166" priority="2"/>
  </conditionalFormatting>
  <conditionalFormatting sqref="A1:A5">
    <cfRule type="duplicateValues" dxfId="16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C621-411B-4644-A76B-09D19D649196}">
  <sheetPr>
    <tabColor rgb="FFFF0000"/>
  </sheetPr>
  <dimension ref="A1:E102"/>
  <sheetViews>
    <sheetView workbookViewId="0">
      <selection activeCell="C15" sqref="C15"/>
    </sheetView>
  </sheetViews>
  <sheetFormatPr defaultRowHeight="16" x14ac:dyDescent="0.8"/>
  <cols>
    <col min="1" max="1" width="13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x14ac:dyDescent="0.8">
      <c r="A1" s="225" t="s">
        <v>86</v>
      </c>
      <c r="B1" s="226"/>
      <c r="C1" s="43" t="s">
        <v>88</v>
      </c>
      <c r="D1" s="230">
        <v>44766</v>
      </c>
      <c r="E1" s="231"/>
    </row>
    <row r="2" spans="1:5" x14ac:dyDescent="0.8">
      <c r="A2" s="225" t="s">
        <v>87</v>
      </c>
      <c r="B2" s="226"/>
      <c r="C2" s="43" t="s">
        <v>90</v>
      </c>
      <c r="D2" s="230">
        <v>44765</v>
      </c>
      <c r="E2" s="231"/>
    </row>
    <row r="3" spans="1:5" x14ac:dyDescent="0.8">
      <c r="A3" s="225" t="s">
        <v>89</v>
      </c>
      <c r="B3" s="226"/>
      <c r="C3" s="43" t="s">
        <v>92</v>
      </c>
      <c r="D3" s="227">
        <v>43</v>
      </c>
      <c r="E3" s="228"/>
    </row>
    <row r="4" spans="1:5" x14ac:dyDescent="0.8">
      <c r="A4" s="225" t="s">
        <v>91</v>
      </c>
      <c r="B4" s="226"/>
      <c r="C4" s="43" t="s">
        <v>94</v>
      </c>
      <c r="D4" s="227" t="s">
        <v>95</v>
      </c>
      <c r="E4" s="228"/>
    </row>
    <row r="5" spans="1:5" x14ac:dyDescent="0.8">
      <c r="A5" s="225" t="s">
        <v>93</v>
      </c>
      <c r="B5" s="226"/>
      <c r="C5" s="43" t="s">
        <v>109</v>
      </c>
      <c r="D5" s="229">
        <f>GETPIVOTDATA("Sum of Total",$A$6)</f>
        <v>12455</v>
      </c>
      <c r="E5" s="229"/>
    </row>
    <row r="6" spans="1:5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x14ac:dyDescent="0.8">
      <c r="A7" s="37" t="s">
        <v>269</v>
      </c>
      <c r="B7" s="14">
        <v>125</v>
      </c>
      <c r="C7" s="14"/>
      <c r="D7" s="14"/>
      <c r="E7" s="14">
        <v>125</v>
      </c>
    </row>
    <row r="8" spans="1:5" x14ac:dyDescent="0.8">
      <c r="A8" s="37" t="s">
        <v>270</v>
      </c>
      <c r="B8" s="14">
        <v>85</v>
      </c>
      <c r="C8" s="14"/>
      <c r="D8" s="14"/>
      <c r="E8" s="14">
        <v>85</v>
      </c>
    </row>
    <row r="9" spans="1:5" x14ac:dyDescent="0.8">
      <c r="A9" s="37" t="s">
        <v>271</v>
      </c>
      <c r="B9" s="14">
        <v>125</v>
      </c>
      <c r="C9" s="14"/>
      <c r="D9" s="14"/>
      <c r="E9" s="14">
        <v>125</v>
      </c>
    </row>
    <row r="10" spans="1:5" x14ac:dyDescent="0.8">
      <c r="A10" s="37" t="s">
        <v>272</v>
      </c>
      <c r="B10" s="14">
        <v>40</v>
      </c>
      <c r="C10" s="14"/>
      <c r="D10" s="14"/>
      <c r="E10" s="14">
        <v>40</v>
      </c>
    </row>
    <row r="11" spans="1:5" x14ac:dyDescent="0.8">
      <c r="A11" s="37" t="s">
        <v>273</v>
      </c>
      <c r="B11" s="14">
        <v>40</v>
      </c>
      <c r="C11" s="14"/>
      <c r="D11" s="14"/>
      <c r="E11" s="14">
        <v>40</v>
      </c>
    </row>
    <row r="12" spans="1:5" x14ac:dyDescent="0.8">
      <c r="A12" s="37" t="s">
        <v>274</v>
      </c>
      <c r="B12" s="14">
        <v>85</v>
      </c>
      <c r="C12" s="14">
        <v>40</v>
      </c>
      <c r="D12" s="14"/>
      <c r="E12" s="14">
        <v>125</v>
      </c>
    </row>
    <row r="13" spans="1:5" x14ac:dyDescent="0.8">
      <c r="A13" s="37" t="s">
        <v>275</v>
      </c>
      <c r="B13" s="14">
        <v>125</v>
      </c>
      <c r="C13" s="14"/>
      <c r="D13" s="14">
        <v>40</v>
      </c>
      <c r="E13" s="14">
        <v>165</v>
      </c>
    </row>
    <row r="14" spans="1:5" x14ac:dyDescent="0.8">
      <c r="A14" s="37" t="s">
        <v>58</v>
      </c>
      <c r="B14" s="14">
        <v>40</v>
      </c>
      <c r="C14" s="14"/>
      <c r="D14" s="14"/>
      <c r="E14" s="14">
        <v>40</v>
      </c>
    </row>
    <row r="15" spans="1:5" x14ac:dyDescent="0.8">
      <c r="A15" s="37" t="s">
        <v>276</v>
      </c>
      <c r="B15" s="14">
        <v>85</v>
      </c>
      <c r="C15" s="14"/>
      <c r="D15" s="14">
        <v>40</v>
      </c>
      <c r="E15" s="14">
        <v>125</v>
      </c>
    </row>
    <row r="16" spans="1:5" x14ac:dyDescent="0.8">
      <c r="A16" s="37" t="s">
        <v>277</v>
      </c>
      <c r="B16" s="14">
        <v>85</v>
      </c>
      <c r="C16" s="14"/>
      <c r="D16" s="14">
        <v>40</v>
      </c>
      <c r="E16" s="14">
        <v>125</v>
      </c>
    </row>
    <row r="17" spans="1:5" x14ac:dyDescent="0.8">
      <c r="A17" s="37" t="s">
        <v>278</v>
      </c>
      <c r="B17" s="14">
        <v>125</v>
      </c>
      <c r="C17" s="14">
        <v>40</v>
      </c>
      <c r="D17" s="14"/>
      <c r="E17" s="14">
        <v>165</v>
      </c>
    </row>
    <row r="18" spans="1:5" x14ac:dyDescent="0.8">
      <c r="A18" s="37" t="s">
        <v>279</v>
      </c>
      <c r="B18" s="14">
        <v>85</v>
      </c>
      <c r="C18" s="14">
        <v>40</v>
      </c>
      <c r="D18" s="14"/>
      <c r="E18" s="14">
        <v>125</v>
      </c>
    </row>
    <row r="19" spans="1:5" x14ac:dyDescent="0.8">
      <c r="A19" s="37" t="s">
        <v>280</v>
      </c>
      <c r="B19" s="14">
        <v>125</v>
      </c>
      <c r="C19" s="14">
        <v>85</v>
      </c>
      <c r="D19" s="14">
        <v>40</v>
      </c>
      <c r="E19" s="14">
        <v>250</v>
      </c>
    </row>
    <row r="20" spans="1:5" x14ac:dyDescent="0.8">
      <c r="A20" s="37" t="s">
        <v>281</v>
      </c>
      <c r="B20" s="14">
        <v>85</v>
      </c>
      <c r="C20" s="14"/>
      <c r="D20" s="14"/>
      <c r="E20" s="14">
        <v>85</v>
      </c>
    </row>
    <row r="21" spans="1:5" x14ac:dyDescent="0.8">
      <c r="A21" s="37" t="s">
        <v>282</v>
      </c>
      <c r="B21" s="14">
        <v>105</v>
      </c>
      <c r="C21" s="14"/>
      <c r="D21" s="14">
        <v>40</v>
      </c>
      <c r="E21" s="14">
        <v>145</v>
      </c>
    </row>
    <row r="22" spans="1:5" x14ac:dyDescent="0.8">
      <c r="A22" s="37" t="s">
        <v>283</v>
      </c>
      <c r="B22" s="14">
        <v>125</v>
      </c>
      <c r="C22" s="14">
        <v>40</v>
      </c>
      <c r="D22" s="14"/>
      <c r="E22" s="14">
        <v>165</v>
      </c>
    </row>
    <row r="23" spans="1:5" x14ac:dyDescent="0.8">
      <c r="A23" s="37" t="s">
        <v>284</v>
      </c>
      <c r="B23" s="14">
        <v>125</v>
      </c>
      <c r="C23" s="14"/>
      <c r="D23" s="14">
        <v>40</v>
      </c>
      <c r="E23" s="14">
        <v>165</v>
      </c>
    </row>
    <row r="24" spans="1:5" x14ac:dyDescent="0.8">
      <c r="A24" s="37" t="s">
        <v>150</v>
      </c>
      <c r="B24" s="14">
        <v>40</v>
      </c>
      <c r="C24" s="14"/>
      <c r="D24" s="14"/>
      <c r="E24" s="14">
        <v>40</v>
      </c>
    </row>
    <row r="25" spans="1:5" x14ac:dyDescent="0.8">
      <c r="A25" s="37" t="s">
        <v>285</v>
      </c>
      <c r="B25" s="14">
        <v>125</v>
      </c>
      <c r="C25" s="14">
        <v>40</v>
      </c>
      <c r="D25" s="14"/>
      <c r="E25" s="14">
        <v>165</v>
      </c>
    </row>
    <row r="26" spans="1:5" x14ac:dyDescent="0.8">
      <c r="A26" s="37" t="s">
        <v>286</v>
      </c>
      <c r="B26" s="14">
        <v>125</v>
      </c>
      <c r="C26" s="14">
        <v>40</v>
      </c>
      <c r="D26" s="14"/>
      <c r="E26" s="14">
        <v>165</v>
      </c>
    </row>
    <row r="27" spans="1:5" x14ac:dyDescent="0.8">
      <c r="A27" s="37" t="s">
        <v>287</v>
      </c>
      <c r="B27" s="14">
        <v>85</v>
      </c>
      <c r="C27" s="14"/>
      <c r="D27" s="14"/>
      <c r="E27" s="14">
        <v>85</v>
      </c>
    </row>
    <row r="28" spans="1:5" x14ac:dyDescent="0.8">
      <c r="A28" s="37" t="s">
        <v>288</v>
      </c>
      <c r="B28" s="14">
        <v>85</v>
      </c>
      <c r="C28" s="14"/>
      <c r="D28" s="14"/>
      <c r="E28" s="14">
        <v>85</v>
      </c>
    </row>
    <row r="29" spans="1:5" x14ac:dyDescent="0.8">
      <c r="A29" s="37" t="s">
        <v>134</v>
      </c>
      <c r="B29" s="14">
        <v>125</v>
      </c>
      <c r="C29" s="14">
        <v>40</v>
      </c>
      <c r="D29" s="14"/>
      <c r="E29" s="14">
        <v>165</v>
      </c>
    </row>
    <row r="30" spans="1:5" x14ac:dyDescent="0.8">
      <c r="A30" s="37" t="s">
        <v>289</v>
      </c>
      <c r="B30" s="14">
        <v>40</v>
      </c>
      <c r="C30" s="14"/>
      <c r="D30" s="14"/>
      <c r="E30" s="14">
        <v>40</v>
      </c>
    </row>
    <row r="31" spans="1:5" x14ac:dyDescent="0.8">
      <c r="A31" s="37" t="s">
        <v>290</v>
      </c>
      <c r="B31" s="14">
        <v>125</v>
      </c>
      <c r="C31" s="14">
        <v>40</v>
      </c>
      <c r="D31" s="14"/>
      <c r="E31" s="14">
        <v>165</v>
      </c>
    </row>
    <row r="32" spans="1:5" x14ac:dyDescent="0.8">
      <c r="A32" s="37" t="s">
        <v>291</v>
      </c>
      <c r="B32" s="14">
        <v>125</v>
      </c>
      <c r="C32" s="14"/>
      <c r="D32" s="14">
        <v>40</v>
      </c>
      <c r="E32" s="14">
        <v>165</v>
      </c>
    </row>
    <row r="33" spans="1:5" x14ac:dyDescent="0.8">
      <c r="A33" s="37" t="s">
        <v>292</v>
      </c>
      <c r="B33" s="14">
        <v>125</v>
      </c>
      <c r="C33" s="14"/>
      <c r="D33" s="14"/>
      <c r="E33" s="14">
        <v>125</v>
      </c>
    </row>
    <row r="34" spans="1:5" x14ac:dyDescent="0.8">
      <c r="A34" s="37" t="s">
        <v>293</v>
      </c>
      <c r="B34" s="14">
        <v>125</v>
      </c>
      <c r="C34" s="14"/>
      <c r="D34" s="14"/>
      <c r="E34" s="14">
        <v>125</v>
      </c>
    </row>
    <row r="35" spans="1:5" x14ac:dyDescent="0.8">
      <c r="A35" s="37" t="s">
        <v>294</v>
      </c>
      <c r="B35" s="14">
        <v>125</v>
      </c>
      <c r="C35" s="14">
        <v>40</v>
      </c>
      <c r="D35" s="14"/>
      <c r="E35" s="14">
        <v>165</v>
      </c>
    </row>
    <row r="36" spans="1:5" x14ac:dyDescent="0.8">
      <c r="A36" s="37" t="s">
        <v>295</v>
      </c>
      <c r="B36" s="14">
        <v>125</v>
      </c>
      <c r="C36" s="14">
        <v>40</v>
      </c>
      <c r="D36" s="14"/>
      <c r="E36" s="14">
        <v>165</v>
      </c>
    </row>
    <row r="37" spans="1:5" x14ac:dyDescent="0.8">
      <c r="A37" s="37" t="s">
        <v>296</v>
      </c>
      <c r="B37" s="14">
        <v>40</v>
      </c>
      <c r="C37" s="14"/>
      <c r="D37" s="14"/>
      <c r="E37" s="14">
        <v>40</v>
      </c>
    </row>
    <row r="38" spans="1:5" x14ac:dyDescent="0.8">
      <c r="A38" s="37" t="s">
        <v>297</v>
      </c>
      <c r="B38" s="14">
        <v>125</v>
      </c>
      <c r="C38" s="14">
        <v>40</v>
      </c>
      <c r="D38" s="14"/>
      <c r="E38" s="14">
        <v>165</v>
      </c>
    </row>
    <row r="39" spans="1:5" x14ac:dyDescent="0.8">
      <c r="A39" s="37" t="s">
        <v>298</v>
      </c>
      <c r="B39" s="14">
        <v>125</v>
      </c>
      <c r="C39" s="14">
        <v>40</v>
      </c>
      <c r="D39" s="14"/>
      <c r="E39" s="14">
        <v>165</v>
      </c>
    </row>
    <row r="40" spans="1:5" x14ac:dyDescent="0.8">
      <c r="A40" s="37" t="s">
        <v>299</v>
      </c>
      <c r="B40" s="14">
        <v>125</v>
      </c>
      <c r="C40" s="14">
        <v>40</v>
      </c>
      <c r="D40" s="14"/>
      <c r="E40" s="14">
        <v>165</v>
      </c>
    </row>
    <row r="41" spans="1:5" x14ac:dyDescent="0.8">
      <c r="A41" s="37" t="s">
        <v>300</v>
      </c>
      <c r="B41" s="14">
        <v>125</v>
      </c>
      <c r="C41" s="14">
        <v>40</v>
      </c>
      <c r="D41" s="14"/>
      <c r="E41" s="14">
        <v>165</v>
      </c>
    </row>
    <row r="42" spans="1:5" x14ac:dyDescent="0.8">
      <c r="A42" s="37" t="s">
        <v>301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37" t="s">
        <v>302</v>
      </c>
      <c r="B43" s="14">
        <v>155</v>
      </c>
      <c r="C43" s="14">
        <v>40</v>
      </c>
      <c r="D43" s="14"/>
      <c r="E43" s="14">
        <v>195</v>
      </c>
    </row>
    <row r="44" spans="1:5" x14ac:dyDescent="0.8">
      <c r="A44" s="37" t="s">
        <v>303</v>
      </c>
      <c r="B44" s="14">
        <v>125</v>
      </c>
      <c r="C44" s="14">
        <v>40</v>
      </c>
      <c r="D44" s="14"/>
      <c r="E44" s="14">
        <v>165</v>
      </c>
    </row>
    <row r="45" spans="1:5" x14ac:dyDescent="0.8">
      <c r="A45" s="37" t="s">
        <v>304</v>
      </c>
      <c r="B45" s="14">
        <v>125</v>
      </c>
      <c r="C45" s="14">
        <v>40</v>
      </c>
      <c r="D45" s="14"/>
      <c r="E45" s="14">
        <v>165</v>
      </c>
    </row>
    <row r="46" spans="1:5" x14ac:dyDescent="0.8">
      <c r="A46" s="37" t="s">
        <v>305</v>
      </c>
      <c r="B46" s="14">
        <v>125</v>
      </c>
      <c r="C46" s="14">
        <v>45</v>
      </c>
      <c r="D46" s="14"/>
      <c r="E46" s="14">
        <v>170</v>
      </c>
    </row>
    <row r="47" spans="1:5" x14ac:dyDescent="0.8">
      <c r="A47" s="37" t="s">
        <v>306</v>
      </c>
      <c r="B47" s="14">
        <v>125</v>
      </c>
      <c r="C47" s="14"/>
      <c r="D47" s="14">
        <v>40</v>
      </c>
      <c r="E47" s="14">
        <v>165</v>
      </c>
    </row>
    <row r="48" spans="1:5" x14ac:dyDescent="0.8">
      <c r="A48" s="37" t="s">
        <v>307</v>
      </c>
      <c r="B48" s="14">
        <v>125</v>
      </c>
      <c r="C48" s="14">
        <v>40</v>
      </c>
      <c r="D48" s="14"/>
      <c r="E48" s="14">
        <v>165</v>
      </c>
    </row>
    <row r="49" spans="1:5" x14ac:dyDescent="0.8">
      <c r="A49" s="37" t="s">
        <v>308</v>
      </c>
      <c r="B49" s="14">
        <v>125</v>
      </c>
      <c r="C49" s="14">
        <v>40</v>
      </c>
      <c r="D49" s="14"/>
      <c r="E49" s="14">
        <v>165</v>
      </c>
    </row>
    <row r="50" spans="1:5" x14ac:dyDescent="0.8">
      <c r="A50" s="37" t="s">
        <v>309</v>
      </c>
      <c r="B50" s="14">
        <v>125</v>
      </c>
      <c r="C50" s="14">
        <v>40</v>
      </c>
      <c r="D50" s="14"/>
      <c r="E50" s="14">
        <v>165</v>
      </c>
    </row>
    <row r="51" spans="1:5" x14ac:dyDescent="0.8">
      <c r="A51" s="37" t="s">
        <v>310</v>
      </c>
      <c r="B51" s="14">
        <v>125</v>
      </c>
      <c r="C51" s="14">
        <v>40</v>
      </c>
      <c r="D51" s="14"/>
      <c r="E51" s="14">
        <v>165</v>
      </c>
    </row>
    <row r="52" spans="1:5" x14ac:dyDescent="0.8">
      <c r="A52" s="37" t="s">
        <v>311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200</v>
      </c>
      <c r="B53" s="14">
        <v>40</v>
      </c>
      <c r="C53" s="14"/>
      <c r="D53" s="14"/>
      <c r="E53" s="14">
        <v>40</v>
      </c>
    </row>
    <row r="54" spans="1:5" x14ac:dyDescent="0.8">
      <c r="A54" s="37" t="s">
        <v>312</v>
      </c>
      <c r="B54" s="14">
        <v>85</v>
      </c>
      <c r="C54" s="14"/>
      <c r="D54" s="14"/>
      <c r="E54" s="14">
        <v>85</v>
      </c>
    </row>
    <row r="55" spans="1:5" x14ac:dyDescent="0.8">
      <c r="A55" s="37" t="s">
        <v>313</v>
      </c>
      <c r="B55" s="14">
        <v>125</v>
      </c>
      <c r="C55" s="14">
        <v>40</v>
      </c>
      <c r="D55" s="14"/>
      <c r="E55" s="14">
        <v>165</v>
      </c>
    </row>
    <row r="56" spans="1:5" x14ac:dyDescent="0.8">
      <c r="A56" s="37" t="s">
        <v>314</v>
      </c>
      <c r="B56" s="14">
        <v>125</v>
      </c>
      <c r="C56" s="14">
        <v>40</v>
      </c>
      <c r="D56" s="14"/>
      <c r="E56" s="14">
        <v>165</v>
      </c>
    </row>
    <row r="57" spans="1:5" x14ac:dyDescent="0.8">
      <c r="A57" s="37" t="s">
        <v>315</v>
      </c>
      <c r="B57" s="14">
        <v>85</v>
      </c>
      <c r="C57" s="14">
        <v>40</v>
      </c>
      <c r="D57" s="14"/>
      <c r="E57" s="14">
        <v>125</v>
      </c>
    </row>
    <row r="58" spans="1:5" x14ac:dyDescent="0.8">
      <c r="A58" s="37" t="s">
        <v>316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37" t="s">
        <v>317</v>
      </c>
      <c r="B59" s="14">
        <v>85</v>
      </c>
      <c r="C59" s="14">
        <v>40</v>
      </c>
      <c r="D59" s="14"/>
      <c r="E59" s="14">
        <v>125</v>
      </c>
    </row>
    <row r="60" spans="1:5" x14ac:dyDescent="0.8">
      <c r="A60" s="37" t="s">
        <v>318</v>
      </c>
      <c r="B60" s="14">
        <v>40</v>
      </c>
      <c r="C60" s="14"/>
      <c r="D60" s="14"/>
      <c r="E60" s="14">
        <v>40</v>
      </c>
    </row>
    <row r="61" spans="1:5" x14ac:dyDescent="0.8">
      <c r="A61" s="37" t="s">
        <v>319</v>
      </c>
      <c r="B61" s="14">
        <v>85</v>
      </c>
      <c r="C61" s="14"/>
      <c r="D61" s="14">
        <v>40</v>
      </c>
      <c r="E61" s="14">
        <v>125</v>
      </c>
    </row>
    <row r="62" spans="1:5" x14ac:dyDescent="0.8">
      <c r="A62" s="37" t="s">
        <v>320</v>
      </c>
      <c r="B62" s="14">
        <v>125</v>
      </c>
      <c r="C62" s="14">
        <v>40</v>
      </c>
      <c r="D62" s="14">
        <v>45</v>
      </c>
      <c r="E62" s="14">
        <v>210</v>
      </c>
    </row>
    <row r="63" spans="1:5" x14ac:dyDescent="0.8">
      <c r="A63" s="37" t="s">
        <v>321</v>
      </c>
      <c r="B63" s="14">
        <v>125</v>
      </c>
      <c r="C63" s="14">
        <v>40</v>
      </c>
      <c r="D63" s="14"/>
      <c r="E63" s="14">
        <v>165</v>
      </c>
    </row>
    <row r="64" spans="1:5" x14ac:dyDescent="0.8">
      <c r="A64" s="37" t="s">
        <v>322</v>
      </c>
      <c r="B64" s="14">
        <v>85</v>
      </c>
      <c r="C64" s="14">
        <v>40</v>
      </c>
      <c r="D64" s="14"/>
      <c r="E64" s="14">
        <v>125</v>
      </c>
    </row>
    <row r="65" spans="1:5" x14ac:dyDescent="0.8">
      <c r="A65" s="37" t="s">
        <v>323</v>
      </c>
      <c r="B65" s="14">
        <v>125</v>
      </c>
      <c r="C65" s="14"/>
      <c r="D65" s="14"/>
      <c r="E65" s="14">
        <v>125</v>
      </c>
    </row>
    <row r="66" spans="1:5" x14ac:dyDescent="0.8">
      <c r="A66" s="37" t="s">
        <v>324</v>
      </c>
      <c r="B66" s="14">
        <v>125</v>
      </c>
      <c r="C66" s="14">
        <v>40</v>
      </c>
      <c r="D66" s="14"/>
      <c r="E66" s="14">
        <v>165</v>
      </c>
    </row>
    <row r="67" spans="1:5" x14ac:dyDescent="0.8">
      <c r="A67" s="37" t="s">
        <v>325</v>
      </c>
      <c r="B67" s="14">
        <v>125</v>
      </c>
      <c r="C67" s="14"/>
      <c r="D67" s="14"/>
      <c r="E67" s="14">
        <v>125</v>
      </c>
    </row>
    <row r="68" spans="1:5" x14ac:dyDescent="0.8">
      <c r="A68" s="37" t="s">
        <v>326</v>
      </c>
      <c r="B68" s="14">
        <v>125</v>
      </c>
      <c r="C68" s="14"/>
      <c r="D68" s="14"/>
      <c r="E68" s="14">
        <v>125</v>
      </c>
    </row>
    <row r="69" spans="1:5" x14ac:dyDescent="0.8">
      <c r="A69" s="37" t="s">
        <v>327</v>
      </c>
      <c r="B69" s="14">
        <v>125</v>
      </c>
      <c r="C69" s="14">
        <v>40</v>
      </c>
      <c r="D69" s="14"/>
      <c r="E69" s="14">
        <v>165</v>
      </c>
    </row>
    <row r="70" spans="1:5" x14ac:dyDescent="0.8">
      <c r="A70" s="37" t="s">
        <v>328</v>
      </c>
      <c r="B70" s="14">
        <v>85</v>
      </c>
      <c r="C70" s="14">
        <v>40</v>
      </c>
      <c r="D70" s="14"/>
      <c r="E70" s="14">
        <v>125</v>
      </c>
    </row>
    <row r="71" spans="1:5" x14ac:dyDescent="0.8">
      <c r="A71" s="37" t="s">
        <v>329</v>
      </c>
      <c r="B71" s="14">
        <v>40</v>
      </c>
      <c r="C71" s="14"/>
      <c r="D71" s="14"/>
      <c r="E71" s="14">
        <v>40</v>
      </c>
    </row>
    <row r="72" spans="1:5" x14ac:dyDescent="0.8">
      <c r="A72" s="37" t="s">
        <v>330</v>
      </c>
      <c r="B72" s="14">
        <v>85</v>
      </c>
      <c r="C72" s="14">
        <v>40</v>
      </c>
      <c r="D72" s="14"/>
      <c r="E72" s="14">
        <v>125</v>
      </c>
    </row>
    <row r="73" spans="1:5" x14ac:dyDescent="0.8">
      <c r="A73" s="37" t="s">
        <v>331</v>
      </c>
      <c r="B73" s="14">
        <v>40</v>
      </c>
      <c r="C73" s="14"/>
      <c r="D73" s="14"/>
      <c r="E73" s="14">
        <v>40</v>
      </c>
    </row>
    <row r="74" spans="1:5" x14ac:dyDescent="0.8">
      <c r="A74" s="37" t="s">
        <v>332</v>
      </c>
      <c r="B74" s="14">
        <v>125</v>
      </c>
      <c r="C74" s="14">
        <v>40</v>
      </c>
      <c r="D74" s="14"/>
      <c r="E74" s="14">
        <v>165</v>
      </c>
    </row>
    <row r="75" spans="1:5" x14ac:dyDescent="0.8">
      <c r="A75" s="37" t="s">
        <v>333</v>
      </c>
      <c r="B75" s="14">
        <v>125</v>
      </c>
      <c r="C75" s="14"/>
      <c r="D75" s="14"/>
      <c r="E75" s="14">
        <v>125</v>
      </c>
    </row>
    <row r="76" spans="1:5" x14ac:dyDescent="0.8">
      <c r="A76" s="37" t="s">
        <v>334</v>
      </c>
      <c r="B76" s="14">
        <v>125</v>
      </c>
      <c r="C76" s="14"/>
      <c r="D76" s="14"/>
      <c r="E76" s="14">
        <v>125</v>
      </c>
    </row>
    <row r="77" spans="1:5" x14ac:dyDescent="0.8">
      <c r="A77" s="37" t="s">
        <v>335</v>
      </c>
      <c r="B77" s="14">
        <v>40</v>
      </c>
      <c r="C77" s="14"/>
      <c r="D77" s="14"/>
      <c r="E77" s="14">
        <v>40</v>
      </c>
    </row>
    <row r="78" spans="1:5" x14ac:dyDescent="0.8">
      <c r="A78" s="37" t="s">
        <v>336</v>
      </c>
      <c r="B78" s="14">
        <v>125</v>
      </c>
      <c r="C78" s="14">
        <v>40</v>
      </c>
      <c r="D78" s="14"/>
      <c r="E78" s="14">
        <v>165</v>
      </c>
    </row>
    <row r="79" spans="1:5" x14ac:dyDescent="0.8">
      <c r="A79" s="37" t="s">
        <v>337</v>
      </c>
      <c r="B79" s="14">
        <v>125</v>
      </c>
      <c r="C79" s="14"/>
      <c r="D79" s="14"/>
      <c r="E79" s="14">
        <v>125</v>
      </c>
    </row>
    <row r="80" spans="1:5" x14ac:dyDescent="0.8">
      <c r="A80" s="37" t="s">
        <v>338</v>
      </c>
      <c r="B80" s="14">
        <v>85</v>
      </c>
      <c r="C80" s="14"/>
      <c r="D80" s="14"/>
      <c r="E80" s="14">
        <v>85</v>
      </c>
    </row>
    <row r="81" spans="1:5" x14ac:dyDescent="0.8">
      <c r="A81" s="37" t="s">
        <v>339</v>
      </c>
      <c r="B81" s="14">
        <v>125</v>
      </c>
      <c r="C81" s="14">
        <v>40</v>
      </c>
      <c r="D81" s="14"/>
      <c r="E81" s="14">
        <v>165</v>
      </c>
    </row>
    <row r="82" spans="1:5" x14ac:dyDescent="0.8">
      <c r="A82" s="37" t="s">
        <v>340</v>
      </c>
      <c r="B82" s="14">
        <v>85</v>
      </c>
      <c r="C82" s="14">
        <v>40</v>
      </c>
      <c r="D82" s="14"/>
      <c r="E82" s="14">
        <v>125</v>
      </c>
    </row>
    <row r="83" spans="1:5" x14ac:dyDescent="0.8">
      <c r="A83" s="37" t="s">
        <v>341</v>
      </c>
      <c r="B83" s="14">
        <v>125</v>
      </c>
      <c r="C83" s="14">
        <v>45</v>
      </c>
      <c r="D83" s="14">
        <v>40</v>
      </c>
      <c r="E83" s="14">
        <v>210</v>
      </c>
    </row>
    <row r="84" spans="1:5" x14ac:dyDescent="0.8">
      <c r="A84" s="37" t="s">
        <v>342</v>
      </c>
      <c r="B84" s="14">
        <v>125</v>
      </c>
      <c r="C84" s="14"/>
      <c r="D84" s="14"/>
      <c r="E84" s="14">
        <v>125</v>
      </c>
    </row>
    <row r="85" spans="1:5" x14ac:dyDescent="0.8">
      <c r="A85" s="37" t="s">
        <v>343</v>
      </c>
      <c r="B85" s="14">
        <v>125</v>
      </c>
      <c r="C85" s="14">
        <v>40</v>
      </c>
      <c r="D85" s="14"/>
      <c r="E85" s="14">
        <v>165</v>
      </c>
    </row>
    <row r="86" spans="1:5" x14ac:dyDescent="0.8">
      <c r="A86" s="37" t="s">
        <v>344</v>
      </c>
      <c r="B86" s="14">
        <v>85</v>
      </c>
      <c r="C86" s="14">
        <v>40</v>
      </c>
      <c r="D86" s="14"/>
      <c r="E86" s="14">
        <v>125</v>
      </c>
    </row>
    <row r="87" spans="1:5" x14ac:dyDescent="0.8">
      <c r="A87" s="37" t="s">
        <v>345</v>
      </c>
      <c r="B87" s="14">
        <v>85</v>
      </c>
      <c r="C87" s="14">
        <v>40</v>
      </c>
      <c r="D87" s="14"/>
      <c r="E87" s="14">
        <v>125</v>
      </c>
    </row>
    <row r="88" spans="1:5" x14ac:dyDescent="0.8">
      <c r="A88" s="37" t="s">
        <v>346</v>
      </c>
      <c r="B88" s="14">
        <v>105</v>
      </c>
      <c r="C88" s="14">
        <v>40</v>
      </c>
      <c r="D88" s="14"/>
      <c r="E88" s="14">
        <v>145</v>
      </c>
    </row>
    <row r="89" spans="1:5" x14ac:dyDescent="0.8">
      <c r="A89" s="37" t="s">
        <v>347</v>
      </c>
      <c r="B89" s="14">
        <v>85</v>
      </c>
      <c r="C89" s="14"/>
      <c r="D89" s="14"/>
      <c r="E89" s="14">
        <v>85</v>
      </c>
    </row>
    <row r="90" spans="1:5" x14ac:dyDescent="0.8">
      <c r="A90" s="37" t="s">
        <v>348</v>
      </c>
      <c r="B90" s="14">
        <v>85</v>
      </c>
      <c r="C90" s="14">
        <v>25</v>
      </c>
      <c r="D90" s="14"/>
      <c r="E90" s="14">
        <v>110</v>
      </c>
    </row>
    <row r="91" spans="1:5" x14ac:dyDescent="0.8">
      <c r="A91" s="37" t="s">
        <v>349</v>
      </c>
      <c r="B91" s="14">
        <v>125</v>
      </c>
      <c r="C91" s="14">
        <v>40</v>
      </c>
      <c r="D91" s="14"/>
      <c r="E91" s="14">
        <v>165</v>
      </c>
    </row>
    <row r="92" spans="1:5" x14ac:dyDescent="0.8">
      <c r="A92" s="37" t="s">
        <v>350</v>
      </c>
      <c r="B92" s="14">
        <v>105</v>
      </c>
      <c r="C92" s="14"/>
      <c r="D92" s="14">
        <v>40</v>
      </c>
      <c r="E92" s="14">
        <v>145</v>
      </c>
    </row>
    <row r="93" spans="1:5" x14ac:dyDescent="0.8">
      <c r="A93" s="37" t="s">
        <v>351</v>
      </c>
      <c r="B93" s="14">
        <v>85</v>
      </c>
      <c r="C93" s="14"/>
      <c r="D93" s="14"/>
      <c r="E93" s="14">
        <v>85</v>
      </c>
    </row>
    <row r="94" spans="1:5" x14ac:dyDescent="0.8">
      <c r="A94" s="37" t="s">
        <v>352</v>
      </c>
      <c r="B94" s="14">
        <v>85</v>
      </c>
      <c r="C94" s="14"/>
      <c r="D94" s="14"/>
      <c r="E94" s="14">
        <v>85</v>
      </c>
    </row>
    <row r="95" spans="1:5" x14ac:dyDescent="0.8">
      <c r="A95" s="37" t="s">
        <v>353</v>
      </c>
      <c r="B95" s="14">
        <v>125</v>
      </c>
      <c r="C95" s="14">
        <v>40</v>
      </c>
      <c r="D95" s="14"/>
      <c r="E95" s="14">
        <v>165</v>
      </c>
    </row>
    <row r="96" spans="1:5" x14ac:dyDescent="0.8">
      <c r="A96" s="37" t="s">
        <v>354</v>
      </c>
      <c r="B96" s="14">
        <v>85</v>
      </c>
      <c r="C96" s="14"/>
      <c r="D96" s="14"/>
      <c r="E96" s="14">
        <v>85</v>
      </c>
    </row>
    <row r="97" spans="1:5" x14ac:dyDescent="0.8">
      <c r="A97" s="37" t="s">
        <v>355</v>
      </c>
      <c r="B97" s="14">
        <v>85</v>
      </c>
      <c r="C97" s="14">
        <v>40</v>
      </c>
      <c r="D97" s="14"/>
      <c r="E97" s="14">
        <v>125</v>
      </c>
    </row>
    <row r="98" spans="1:5" x14ac:dyDescent="0.8">
      <c r="A98" s="37" t="s">
        <v>356</v>
      </c>
      <c r="B98" s="14">
        <v>125</v>
      </c>
      <c r="C98" s="14">
        <v>40</v>
      </c>
      <c r="D98" s="14"/>
      <c r="E98" s="14">
        <v>165</v>
      </c>
    </row>
    <row r="99" spans="1:5" x14ac:dyDescent="0.8">
      <c r="A99" s="37" t="s">
        <v>357</v>
      </c>
      <c r="B99" s="14">
        <v>105</v>
      </c>
      <c r="C99" s="14"/>
      <c r="D99" s="14">
        <v>40</v>
      </c>
      <c r="E99" s="14">
        <v>145</v>
      </c>
    </row>
    <row r="100" spans="1:5" x14ac:dyDescent="0.8">
      <c r="A100" s="37" t="s">
        <v>358</v>
      </c>
      <c r="B100" s="14">
        <v>85</v>
      </c>
      <c r="C100" s="14">
        <v>40</v>
      </c>
      <c r="D100" s="14"/>
      <c r="E100" s="14">
        <v>125</v>
      </c>
    </row>
    <row r="101" spans="1:5" x14ac:dyDescent="0.8">
      <c r="A101" s="37" t="s">
        <v>359</v>
      </c>
      <c r="B101" s="14">
        <v>85</v>
      </c>
      <c r="C101" s="14"/>
      <c r="D101" s="14"/>
      <c r="E101" s="14">
        <v>85</v>
      </c>
    </row>
    <row r="102" spans="1:5" x14ac:dyDescent="0.8">
      <c r="A102" s="37" t="s">
        <v>104</v>
      </c>
      <c r="B102" s="14">
        <v>9810</v>
      </c>
      <c r="C102" s="14">
        <v>2120</v>
      </c>
      <c r="D102" s="14">
        <v>525</v>
      </c>
      <c r="E102" s="14">
        <v>12455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64" priority="2"/>
    <cfRule type="duplicateValues" dxfId="163" priority="3"/>
  </conditionalFormatting>
  <conditionalFormatting sqref="A1:A5">
    <cfRule type="duplicateValues" dxfId="16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23E9-7CA8-45B3-9116-848F05F2FC77}">
  <sheetPr>
    <tabColor rgb="FFFF0000"/>
  </sheetPr>
  <dimension ref="A1:E86"/>
  <sheetViews>
    <sheetView workbookViewId="0">
      <selection activeCell="F8" sqref="F8"/>
    </sheetView>
  </sheetViews>
  <sheetFormatPr defaultRowHeight="16" x14ac:dyDescent="0.8"/>
  <cols>
    <col min="1" max="1" width="12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x14ac:dyDescent="0.8">
      <c r="A1" s="225" t="s">
        <v>86</v>
      </c>
      <c r="B1" s="226"/>
      <c r="C1" s="43" t="s">
        <v>88</v>
      </c>
      <c r="D1" s="230">
        <v>44773</v>
      </c>
      <c r="E1" s="231"/>
    </row>
    <row r="2" spans="1:5" x14ac:dyDescent="0.8">
      <c r="A2" s="225" t="s">
        <v>87</v>
      </c>
      <c r="B2" s="226"/>
      <c r="C2" s="43" t="s">
        <v>90</v>
      </c>
      <c r="D2" s="230">
        <v>44772</v>
      </c>
      <c r="E2" s="231"/>
    </row>
    <row r="3" spans="1:5" x14ac:dyDescent="0.8">
      <c r="A3" s="225" t="s">
        <v>89</v>
      </c>
      <c r="B3" s="226"/>
      <c r="C3" s="43" t="s">
        <v>92</v>
      </c>
      <c r="D3" s="227">
        <v>44</v>
      </c>
      <c r="E3" s="228"/>
    </row>
    <row r="4" spans="1:5" x14ac:dyDescent="0.8">
      <c r="A4" s="225" t="s">
        <v>91</v>
      </c>
      <c r="B4" s="226"/>
      <c r="C4" s="43" t="s">
        <v>94</v>
      </c>
      <c r="D4" s="227" t="s">
        <v>95</v>
      </c>
      <c r="E4" s="228"/>
    </row>
    <row r="5" spans="1:5" x14ac:dyDescent="0.8">
      <c r="A5" s="225" t="s">
        <v>93</v>
      </c>
      <c r="B5" s="226"/>
      <c r="C5" s="43" t="s">
        <v>109</v>
      </c>
      <c r="D5" s="229">
        <f>GETPIVOTDATA("Sum of Total",$A$6)</f>
        <v>10870</v>
      </c>
      <c r="E5" s="229"/>
    </row>
    <row r="6" spans="1:5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x14ac:dyDescent="0.8">
      <c r="A7" s="37" t="s">
        <v>191</v>
      </c>
      <c r="B7" s="14">
        <v>125</v>
      </c>
      <c r="C7" s="14"/>
      <c r="D7" s="14">
        <v>40</v>
      </c>
      <c r="E7" s="14">
        <v>165</v>
      </c>
    </row>
    <row r="8" spans="1:5" x14ac:dyDescent="0.8">
      <c r="A8" s="37" t="s">
        <v>192</v>
      </c>
      <c r="B8" s="14">
        <v>155</v>
      </c>
      <c r="C8" s="14"/>
      <c r="D8" s="14"/>
      <c r="E8" s="14">
        <v>155</v>
      </c>
    </row>
    <row r="9" spans="1:5" x14ac:dyDescent="0.8">
      <c r="A9" s="37" t="s">
        <v>193</v>
      </c>
      <c r="B9" s="14">
        <v>125</v>
      </c>
      <c r="C9" s="14">
        <v>40</v>
      </c>
      <c r="D9" s="14"/>
      <c r="E9" s="14">
        <v>165</v>
      </c>
    </row>
    <row r="10" spans="1:5" x14ac:dyDescent="0.8">
      <c r="A10" s="37" t="s">
        <v>177</v>
      </c>
      <c r="B10" s="14">
        <v>40</v>
      </c>
      <c r="C10" s="14"/>
      <c r="D10" s="14"/>
      <c r="E10" s="14">
        <v>40</v>
      </c>
    </row>
    <row r="11" spans="1:5" x14ac:dyDescent="0.8">
      <c r="A11" s="37" t="s">
        <v>194</v>
      </c>
      <c r="B11" s="14">
        <v>85</v>
      </c>
      <c r="C11" s="14"/>
      <c r="D11" s="14">
        <v>40</v>
      </c>
      <c r="E11" s="14">
        <v>125</v>
      </c>
    </row>
    <row r="12" spans="1:5" x14ac:dyDescent="0.8">
      <c r="A12" s="37" t="s">
        <v>195</v>
      </c>
      <c r="B12" s="14">
        <v>105</v>
      </c>
      <c r="C12" s="14"/>
      <c r="D12" s="14">
        <v>40</v>
      </c>
      <c r="E12" s="14">
        <v>145</v>
      </c>
    </row>
    <row r="13" spans="1:5" x14ac:dyDescent="0.8">
      <c r="A13" s="37" t="s">
        <v>196</v>
      </c>
      <c r="B13" s="14">
        <v>105</v>
      </c>
      <c r="C13" s="14"/>
      <c r="D13" s="14">
        <v>40</v>
      </c>
      <c r="E13" s="14">
        <v>145</v>
      </c>
    </row>
    <row r="14" spans="1:5" x14ac:dyDescent="0.8">
      <c r="A14" s="37" t="s">
        <v>197</v>
      </c>
      <c r="B14" s="14">
        <v>155</v>
      </c>
      <c r="C14" s="14"/>
      <c r="D14" s="14">
        <v>40</v>
      </c>
      <c r="E14" s="14">
        <v>195</v>
      </c>
    </row>
    <row r="15" spans="1:5" x14ac:dyDescent="0.8">
      <c r="A15" s="37" t="s">
        <v>198</v>
      </c>
      <c r="B15" s="14">
        <v>125</v>
      </c>
      <c r="C15" s="14">
        <v>40</v>
      </c>
      <c r="D15" s="14"/>
      <c r="E15" s="14">
        <v>165</v>
      </c>
    </row>
    <row r="16" spans="1:5" x14ac:dyDescent="0.8">
      <c r="A16" s="37" t="s">
        <v>199</v>
      </c>
      <c r="B16" s="14">
        <v>85</v>
      </c>
      <c r="C16" s="14">
        <v>40</v>
      </c>
      <c r="D16" s="14"/>
      <c r="E16" s="14">
        <v>125</v>
      </c>
    </row>
    <row r="17" spans="1:5" x14ac:dyDescent="0.8">
      <c r="A17" s="37" t="s">
        <v>200</v>
      </c>
      <c r="B17" s="14">
        <v>125</v>
      </c>
      <c r="C17" s="14">
        <v>40</v>
      </c>
      <c r="D17" s="14"/>
      <c r="E17" s="14">
        <v>165</v>
      </c>
    </row>
    <row r="18" spans="1:5" x14ac:dyDescent="0.8">
      <c r="A18" s="37" t="s">
        <v>201</v>
      </c>
      <c r="B18" s="14">
        <v>85</v>
      </c>
      <c r="C18" s="14"/>
      <c r="D18" s="14"/>
      <c r="E18" s="14">
        <v>85</v>
      </c>
    </row>
    <row r="19" spans="1:5" x14ac:dyDescent="0.8">
      <c r="A19" s="37" t="s">
        <v>202</v>
      </c>
      <c r="B19" s="14">
        <v>85</v>
      </c>
      <c r="C19" s="14"/>
      <c r="D19" s="14"/>
      <c r="E19" s="14">
        <v>85</v>
      </c>
    </row>
    <row r="20" spans="1:5" x14ac:dyDescent="0.8">
      <c r="A20" s="37" t="s">
        <v>203</v>
      </c>
      <c r="B20" s="14">
        <v>105</v>
      </c>
      <c r="C20" s="14"/>
      <c r="D20" s="14">
        <v>40</v>
      </c>
      <c r="E20" s="14">
        <v>145</v>
      </c>
    </row>
    <row r="21" spans="1:5" x14ac:dyDescent="0.8">
      <c r="A21" s="37" t="s">
        <v>204</v>
      </c>
      <c r="B21" s="14">
        <v>105</v>
      </c>
      <c r="C21" s="14">
        <v>40</v>
      </c>
      <c r="D21" s="14"/>
      <c r="E21" s="14">
        <v>145</v>
      </c>
    </row>
    <row r="22" spans="1:5" x14ac:dyDescent="0.8">
      <c r="A22" s="37" t="s">
        <v>205</v>
      </c>
      <c r="B22" s="14">
        <v>85</v>
      </c>
      <c r="C22" s="14">
        <v>40</v>
      </c>
      <c r="D22" s="14"/>
      <c r="E22" s="14">
        <v>125</v>
      </c>
    </row>
    <row r="23" spans="1:5" x14ac:dyDescent="0.8">
      <c r="A23" s="37" t="s">
        <v>206</v>
      </c>
      <c r="B23" s="14">
        <v>125</v>
      </c>
      <c r="C23" s="14">
        <v>85</v>
      </c>
      <c r="D23" s="14"/>
      <c r="E23" s="14">
        <v>210</v>
      </c>
    </row>
    <row r="24" spans="1:5" x14ac:dyDescent="0.8">
      <c r="A24" s="37" t="s">
        <v>207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37" t="s">
        <v>208</v>
      </c>
      <c r="B25" s="14">
        <v>125</v>
      </c>
      <c r="C25" s="14">
        <v>40</v>
      </c>
      <c r="D25" s="14"/>
      <c r="E25" s="14">
        <v>165</v>
      </c>
    </row>
    <row r="26" spans="1:5" x14ac:dyDescent="0.8">
      <c r="A26" s="37" t="s">
        <v>209</v>
      </c>
      <c r="B26" s="14">
        <v>125</v>
      </c>
      <c r="C26" s="14">
        <v>40</v>
      </c>
      <c r="D26" s="14"/>
      <c r="E26" s="14">
        <v>165</v>
      </c>
    </row>
    <row r="27" spans="1:5" x14ac:dyDescent="0.8">
      <c r="A27" s="37" t="s">
        <v>210</v>
      </c>
      <c r="B27" s="14">
        <v>125</v>
      </c>
      <c r="C27" s="14">
        <v>40</v>
      </c>
      <c r="D27" s="14"/>
      <c r="E27" s="14">
        <v>165</v>
      </c>
    </row>
    <row r="28" spans="1:5" x14ac:dyDescent="0.8">
      <c r="A28" s="37" t="s">
        <v>211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212</v>
      </c>
      <c r="B29" s="14">
        <v>185</v>
      </c>
      <c r="C29" s="14"/>
      <c r="D29" s="14"/>
      <c r="E29" s="14">
        <v>185</v>
      </c>
    </row>
    <row r="30" spans="1:5" x14ac:dyDescent="0.8">
      <c r="A30" s="37" t="s">
        <v>213</v>
      </c>
      <c r="B30" s="14">
        <v>125</v>
      </c>
      <c r="C30" s="14">
        <v>40</v>
      </c>
      <c r="D30" s="14">
        <v>45</v>
      </c>
      <c r="E30" s="14">
        <v>210</v>
      </c>
    </row>
    <row r="31" spans="1:5" x14ac:dyDescent="0.8">
      <c r="A31" s="37" t="s">
        <v>214</v>
      </c>
      <c r="B31" s="14">
        <v>105</v>
      </c>
      <c r="C31" s="14"/>
      <c r="D31" s="14">
        <v>40</v>
      </c>
      <c r="E31" s="14">
        <v>145</v>
      </c>
    </row>
    <row r="32" spans="1:5" x14ac:dyDescent="0.8">
      <c r="A32" s="37" t="s">
        <v>215</v>
      </c>
      <c r="B32" s="14">
        <v>85</v>
      </c>
      <c r="C32" s="14"/>
      <c r="D32" s="14">
        <v>40</v>
      </c>
      <c r="E32" s="14">
        <v>125</v>
      </c>
    </row>
    <row r="33" spans="1:5" x14ac:dyDescent="0.8">
      <c r="A33" s="37" t="s">
        <v>216</v>
      </c>
      <c r="B33" s="14">
        <v>85</v>
      </c>
      <c r="C33" s="14">
        <v>40</v>
      </c>
      <c r="D33" s="14"/>
      <c r="E33" s="14">
        <v>125</v>
      </c>
    </row>
    <row r="34" spans="1:5" x14ac:dyDescent="0.8">
      <c r="A34" s="37" t="s">
        <v>217</v>
      </c>
      <c r="B34" s="14">
        <v>85</v>
      </c>
      <c r="C34" s="14"/>
      <c r="D34" s="14"/>
      <c r="E34" s="14">
        <v>85</v>
      </c>
    </row>
    <row r="35" spans="1:5" x14ac:dyDescent="0.8">
      <c r="A35" s="37" t="s">
        <v>218</v>
      </c>
      <c r="B35" s="14">
        <v>40</v>
      </c>
      <c r="C35" s="14"/>
      <c r="D35" s="14"/>
      <c r="E35" s="14">
        <v>40</v>
      </c>
    </row>
    <row r="36" spans="1:5" x14ac:dyDescent="0.8">
      <c r="A36" s="37" t="s">
        <v>219</v>
      </c>
      <c r="B36" s="14">
        <v>125</v>
      </c>
      <c r="C36" s="14"/>
      <c r="D36" s="14"/>
      <c r="E36" s="14">
        <v>125</v>
      </c>
    </row>
    <row r="37" spans="1:5" x14ac:dyDescent="0.8">
      <c r="A37" s="37" t="s">
        <v>220</v>
      </c>
      <c r="B37" s="14">
        <v>155</v>
      </c>
      <c r="C37" s="14">
        <v>40</v>
      </c>
      <c r="D37" s="14"/>
      <c r="E37" s="14">
        <v>195</v>
      </c>
    </row>
    <row r="38" spans="1:5" x14ac:dyDescent="0.8">
      <c r="A38" s="37" t="s">
        <v>221</v>
      </c>
      <c r="B38" s="14">
        <v>40</v>
      </c>
      <c r="C38" s="14"/>
      <c r="D38" s="14"/>
      <c r="E38" s="14">
        <v>40</v>
      </c>
    </row>
    <row r="39" spans="1:5" x14ac:dyDescent="0.8">
      <c r="A39" s="37" t="s">
        <v>222</v>
      </c>
      <c r="B39" s="14">
        <v>125</v>
      </c>
      <c r="C39" s="14">
        <v>45</v>
      </c>
      <c r="D39" s="14">
        <v>40</v>
      </c>
      <c r="E39" s="14">
        <v>210</v>
      </c>
    </row>
    <row r="40" spans="1:5" x14ac:dyDescent="0.8">
      <c r="A40" s="37" t="s">
        <v>223</v>
      </c>
      <c r="B40" s="14">
        <v>125</v>
      </c>
      <c r="C40" s="14"/>
      <c r="D40" s="14"/>
      <c r="E40" s="14">
        <v>125</v>
      </c>
    </row>
    <row r="41" spans="1:5" x14ac:dyDescent="0.8">
      <c r="A41" s="37" t="s">
        <v>224</v>
      </c>
      <c r="B41" s="14">
        <v>40</v>
      </c>
      <c r="C41" s="14"/>
      <c r="D41" s="14"/>
      <c r="E41" s="14">
        <v>40</v>
      </c>
    </row>
    <row r="42" spans="1:5" x14ac:dyDescent="0.8">
      <c r="A42" s="37" t="s">
        <v>225</v>
      </c>
      <c r="B42" s="14">
        <v>185</v>
      </c>
      <c r="C42" s="14"/>
      <c r="D42" s="14">
        <v>40</v>
      </c>
      <c r="E42" s="14">
        <v>225</v>
      </c>
    </row>
    <row r="43" spans="1:5" x14ac:dyDescent="0.8">
      <c r="A43" s="37" t="s">
        <v>226</v>
      </c>
      <c r="B43" s="14">
        <v>40</v>
      </c>
      <c r="C43" s="14"/>
      <c r="D43" s="14"/>
      <c r="E43" s="14">
        <v>40</v>
      </c>
    </row>
    <row r="44" spans="1:5" x14ac:dyDescent="0.8">
      <c r="A44" s="37" t="s">
        <v>227</v>
      </c>
      <c r="B44" s="14">
        <v>125</v>
      </c>
      <c r="C44" s="14">
        <v>40</v>
      </c>
      <c r="D44" s="14"/>
      <c r="E44" s="14">
        <v>165</v>
      </c>
    </row>
    <row r="45" spans="1:5" x14ac:dyDescent="0.8">
      <c r="A45" s="37" t="s">
        <v>228</v>
      </c>
      <c r="B45" s="14">
        <v>105</v>
      </c>
      <c r="C45" s="14"/>
      <c r="D45" s="14"/>
      <c r="E45" s="14">
        <v>105</v>
      </c>
    </row>
    <row r="46" spans="1:5" x14ac:dyDescent="0.8">
      <c r="A46" s="37" t="s">
        <v>229</v>
      </c>
      <c r="B46" s="14">
        <v>85</v>
      </c>
      <c r="C46" s="14"/>
      <c r="D46" s="14"/>
      <c r="E46" s="14">
        <v>85</v>
      </c>
    </row>
    <row r="47" spans="1:5" x14ac:dyDescent="0.8">
      <c r="A47" s="37" t="s">
        <v>230</v>
      </c>
      <c r="B47" s="14">
        <v>105</v>
      </c>
      <c r="C47" s="14"/>
      <c r="D47" s="14">
        <v>40</v>
      </c>
      <c r="E47" s="14">
        <v>145</v>
      </c>
    </row>
    <row r="48" spans="1:5" x14ac:dyDescent="0.8">
      <c r="A48" s="37" t="s">
        <v>231</v>
      </c>
      <c r="B48" s="14">
        <v>85</v>
      </c>
      <c r="C48" s="14"/>
      <c r="D48" s="14"/>
      <c r="E48" s="14">
        <v>85</v>
      </c>
    </row>
    <row r="49" spans="1:5" x14ac:dyDescent="0.8">
      <c r="A49" s="37" t="s">
        <v>232</v>
      </c>
      <c r="B49" s="14">
        <v>125</v>
      </c>
      <c r="C49" s="14">
        <v>40</v>
      </c>
      <c r="D49" s="14"/>
      <c r="E49" s="14">
        <v>165</v>
      </c>
    </row>
    <row r="50" spans="1:5" x14ac:dyDescent="0.8">
      <c r="A50" s="37" t="s">
        <v>233</v>
      </c>
      <c r="B50" s="14">
        <v>125</v>
      </c>
      <c r="C50" s="14">
        <v>40</v>
      </c>
      <c r="D50" s="14"/>
      <c r="E50" s="14">
        <v>165</v>
      </c>
    </row>
    <row r="51" spans="1:5" x14ac:dyDescent="0.8">
      <c r="A51" s="37" t="s">
        <v>234</v>
      </c>
      <c r="B51" s="14">
        <v>85</v>
      </c>
      <c r="C51" s="14">
        <v>40</v>
      </c>
      <c r="D51" s="14"/>
      <c r="E51" s="14">
        <v>125</v>
      </c>
    </row>
    <row r="52" spans="1:5" x14ac:dyDescent="0.8">
      <c r="A52" s="37" t="s">
        <v>235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236</v>
      </c>
      <c r="B53" s="14">
        <v>125</v>
      </c>
      <c r="C53" s="14">
        <v>40</v>
      </c>
      <c r="D53" s="14"/>
      <c r="E53" s="14">
        <v>165</v>
      </c>
    </row>
    <row r="54" spans="1:5" x14ac:dyDescent="0.8">
      <c r="A54" s="37" t="s">
        <v>237</v>
      </c>
      <c r="B54" s="14">
        <v>125</v>
      </c>
      <c r="C54" s="14">
        <v>40</v>
      </c>
      <c r="D54" s="14"/>
      <c r="E54" s="14">
        <v>165</v>
      </c>
    </row>
    <row r="55" spans="1:5" x14ac:dyDescent="0.8">
      <c r="A55" s="37" t="s">
        <v>238</v>
      </c>
      <c r="B55" s="14">
        <v>125</v>
      </c>
      <c r="C55" s="14"/>
      <c r="D55" s="14"/>
      <c r="E55" s="14">
        <v>125</v>
      </c>
    </row>
    <row r="56" spans="1:5" x14ac:dyDescent="0.8">
      <c r="A56" s="37" t="s">
        <v>239</v>
      </c>
      <c r="B56" s="14">
        <v>125</v>
      </c>
      <c r="C56" s="14"/>
      <c r="D56" s="14"/>
      <c r="E56" s="14">
        <v>125</v>
      </c>
    </row>
    <row r="57" spans="1:5" x14ac:dyDescent="0.8">
      <c r="A57" s="37" t="s">
        <v>240</v>
      </c>
      <c r="B57" s="14">
        <v>125</v>
      </c>
      <c r="C57" s="14"/>
      <c r="D57" s="14"/>
      <c r="E57" s="14">
        <v>125</v>
      </c>
    </row>
    <row r="58" spans="1:5" x14ac:dyDescent="0.8">
      <c r="A58" s="37" t="s">
        <v>241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37" t="s">
        <v>242</v>
      </c>
      <c r="B59" s="14">
        <v>125</v>
      </c>
      <c r="C59" s="14"/>
      <c r="D59" s="14">
        <v>40</v>
      </c>
      <c r="E59" s="14">
        <v>165</v>
      </c>
    </row>
    <row r="60" spans="1:5" x14ac:dyDescent="0.8">
      <c r="A60" s="37" t="s">
        <v>243</v>
      </c>
      <c r="B60" s="14">
        <v>125</v>
      </c>
      <c r="C60" s="14">
        <v>40</v>
      </c>
      <c r="D60" s="14"/>
      <c r="E60" s="14">
        <v>165</v>
      </c>
    </row>
    <row r="61" spans="1:5" x14ac:dyDescent="0.8">
      <c r="A61" s="37" t="s">
        <v>244</v>
      </c>
      <c r="B61" s="14">
        <v>125</v>
      </c>
      <c r="C61" s="14"/>
      <c r="D61" s="14"/>
      <c r="E61" s="14">
        <v>125</v>
      </c>
    </row>
    <row r="62" spans="1:5" x14ac:dyDescent="0.8">
      <c r="A62" s="37" t="s">
        <v>245</v>
      </c>
      <c r="B62" s="14">
        <v>40</v>
      </c>
      <c r="C62" s="14"/>
      <c r="D62" s="14"/>
      <c r="E62" s="14">
        <v>40</v>
      </c>
    </row>
    <row r="63" spans="1:5" x14ac:dyDescent="0.8">
      <c r="A63" s="37" t="s">
        <v>246</v>
      </c>
      <c r="B63" s="14">
        <v>125</v>
      </c>
      <c r="C63" s="14"/>
      <c r="D63" s="14"/>
      <c r="E63" s="14">
        <v>125</v>
      </c>
    </row>
    <row r="64" spans="1:5" x14ac:dyDescent="0.8">
      <c r="A64" s="37" t="s">
        <v>247</v>
      </c>
      <c r="B64" s="14">
        <v>155</v>
      </c>
      <c r="C64" s="14">
        <v>40</v>
      </c>
      <c r="D64" s="14">
        <v>45</v>
      </c>
      <c r="E64" s="14">
        <v>240</v>
      </c>
    </row>
    <row r="65" spans="1:5" x14ac:dyDescent="0.8">
      <c r="A65" s="37" t="s">
        <v>248</v>
      </c>
      <c r="B65" s="14">
        <v>125</v>
      </c>
      <c r="C65" s="14"/>
      <c r="D65" s="14">
        <v>40</v>
      </c>
      <c r="E65" s="14">
        <v>165</v>
      </c>
    </row>
    <row r="66" spans="1:5" x14ac:dyDescent="0.8">
      <c r="A66" s="37" t="s">
        <v>249</v>
      </c>
      <c r="B66" s="14">
        <v>40</v>
      </c>
      <c r="C66" s="14"/>
      <c r="D66" s="14"/>
      <c r="E66" s="14">
        <v>40</v>
      </c>
    </row>
    <row r="67" spans="1:5" x14ac:dyDescent="0.8">
      <c r="A67" s="37" t="s">
        <v>250</v>
      </c>
      <c r="B67" s="14">
        <v>125</v>
      </c>
      <c r="C67" s="14">
        <v>40</v>
      </c>
      <c r="D67" s="14"/>
      <c r="E67" s="14">
        <v>165</v>
      </c>
    </row>
    <row r="68" spans="1:5" x14ac:dyDescent="0.8">
      <c r="A68" s="37" t="s">
        <v>251</v>
      </c>
      <c r="B68" s="14">
        <v>125</v>
      </c>
      <c r="C68" s="14">
        <v>40</v>
      </c>
      <c r="D68" s="14"/>
      <c r="E68" s="14">
        <v>165</v>
      </c>
    </row>
    <row r="69" spans="1:5" x14ac:dyDescent="0.8">
      <c r="A69" s="37" t="s">
        <v>252</v>
      </c>
      <c r="B69" s="14">
        <v>125</v>
      </c>
      <c r="C69" s="14"/>
      <c r="D69" s="14"/>
      <c r="E69" s="14">
        <v>125</v>
      </c>
    </row>
    <row r="70" spans="1:5" x14ac:dyDescent="0.8">
      <c r="A70" s="37" t="s">
        <v>253</v>
      </c>
      <c r="B70" s="14">
        <v>85</v>
      </c>
      <c r="C70" s="14">
        <v>40</v>
      </c>
      <c r="D70" s="14"/>
      <c r="E70" s="14">
        <v>125</v>
      </c>
    </row>
    <row r="71" spans="1:5" x14ac:dyDescent="0.8">
      <c r="A71" s="37" t="s">
        <v>254</v>
      </c>
      <c r="B71" s="14">
        <v>125</v>
      </c>
      <c r="C71" s="14">
        <v>40</v>
      </c>
      <c r="D71" s="14"/>
      <c r="E71" s="14">
        <v>165</v>
      </c>
    </row>
    <row r="72" spans="1:5" x14ac:dyDescent="0.8">
      <c r="A72" s="37" t="s">
        <v>255</v>
      </c>
      <c r="B72" s="14">
        <v>125</v>
      </c>
      <c r="C72" s="14"/>
      <c r="D72" s="14">
        <v>40</v>
      </c>
      <c r="E72" s="14">
        <v>165</v>
      </c>
    </row>
    <row r="73" spans="1:5" x14ac:dyDescent="0.8">
      <c r="A73" s="37" t="s">
        <v>256</v>
      </c>
      <c r="B73" s="14">
        <v>155</v>
      </c>
      <c r="C73" s="14">
        <v>40</v>
      </c>
      <c r="D73" s="14"/>
      <c r="E73" s="14">
        <v>195</v>
      </c>
    </row>
    <row r="74" spans="1:5" x14ac:dyDescent="0.8">
      <c r="A74" s="37" t="s">
        <v>257</v>
      </c>
      <c r="B74" s="14">
        <v>85</v>
      </c>
      <c r="C74" s="14"/>
      <c r="D74" s="14">
        <v>40</v>
      </c>
      <c r="E74" s="14">
        <v>125</v>
      </c>
    </row>
    <row r="75" spans="1:5" x14ac:dyDescent="0.8">
      <c r="A75" s="37" t="s">
        <v>258</v>
      </c>
      <c r="B75" s="14">
        <v>85</v>
      </c>
      <c r="C75" s="14"/>
      <c r="D75" s="14"/>
      <c r="E75" s="14">
        <v>85</v>
      </c>
    </row>
    <row r="76" spans="1:5" x14ac:dyDescent="0.8">
      <c r="A76" s="37" t="s">
        <v>259</v>
      </c>
      <c r="B76" s="14">
        <v>125</v>
      </c>
      <c r="C76" s="14"/>
      <c r="D76" s="14"/>
      <c r="E76" s="14">
        <v>125</v>
      </c>
    </row>
    <row r="77" spans="1:5" x14ac:dyDescent="0.8">
      <c r="A77" s="37" t="s">
        <v>260</v>
      </c>
      <c r="B77" s="14">
        <v>125</v>
      </c>
      <c r="C77" s="14">
        <v>40</v>
      </c>
      <c r="D77" s="14"/>
      <c r="E77" s="14">
        <v>165</v>
      </c>
    </row>
    <row r="78" spans="1:5" x14ac:dyDescent="0.8">
      <c r="A78" s="37" t="s">
        <v>261</v>
      </c>
      <c r="B78" s="14">
        <v>185</v>
      </c>
      <c r="C78" s="14">
        <v>40</v>
      </c>
      <c r="D78" s="14"/>
      <c r="E78" s="14">
        <v>225</v>
      </c>
    </row>
    <row r="79" spans="1:5" x14ac:dyDescent="0.8">
      <c r="A79" s="37" t="s">
        <v>262</v>
      </c>
      <c r="B79" s="14">
        <v>125</v>
      </c>
      <c r="C79" s="14"/>
      <c r="D79" s="14"/>
      <c r="E79" s="14">
        <v>125</v>
      </c>
    </row>
    <row r="80" spans="1:5" x14ac:dyDescent="0.8">
      <c r="A80" s="37" t="s">
        <v>263</v>
      </c>
      <c r="B80" s="14">
        <v>105</v>
      </c>
      <c r="C80" s="14">
        <v>40</v>
      </c>
      <c r="D80" s="14"/>
      <c r="E80" s="14">
        <v>145</v>
      </c>
    </row>
    <row r="81" spans="1:5" x14ac:dyDescent="0.8">
      <c r="A81" s="37" t="s">
        <v>264</v>
      </c>
      <c r="B81" s="14">
        <v>85</v>
      </c>
      <c r="C81" s="14"/>
      <c r="D81" s="14"/>
      <c r="E81" s="14">
        <v>85</v>
      </c>
    </row>
    <row r="82" spans="1:5" x14ac:dyDescent="0.8">
      <c r="A82" s="37" t="s">
        <v>265</v>
      </c>
      <c r="B82" s="14">
        <v>85</v>
      </c>
      <c r="C82" s="14"/>
      <c r="D82" s="14"/>
      <c r="E82" s="14">
        <v>85</v>
      </c>
    </row>
    <row r="83" spans="1:5" x14ac:dyDescent="0.8">
      <c r="A83" s="37" t="s">
        <v>266</v>
      </c>
      <c r="B83" s="14">
        <v>85</v>
      </c>
      <c r="C83" s="14"/>
      <c r="D83" s="14"/>
      <c r="E83" s="14">
        <v>85</v>
      </c>
    </row>
    <row r="84" spans="1:5" x14ac:dyDescent="0.8">
      <c r="A84" s="37" t="s">
        <v>267</v>
      </c>
      <c r="B84" s="14">
        <v>125</v>
      </c>
      <c r="C84" s="14"/>
      <c r="D84" s="14">
        <v>40</v>
      </c>
      <c r="E84" s="14">
        <v>165</v>
      </c>
    </row>
    <row r="85" spans="1:5" x14ac:dyDescent="0.8">
      <c r="A85" s="37" t="s">
        <v>268</v>
      </c>
      <c r="B85" s="14">
        <v>85</v>
      </c>
      <c r="C85" s="14"/>
      <c r="D85" s="14"/>
      <c r="E85" s="14">
        <v>85</v>
      </c>
    </row>
    <row r="86" spans="1:5" x14ac:dyDescent="0.8">
      <c r="A86" s="37" t="s">
        <v>104</v>
      </c>
      <c r="B86" s="14">
        <v>8730</v>
      </c>
      <c r="C86" s="14">
        <v>1410</v>
      </c>
      <c r="D86" s="14">
        <v>730</v>
      </c>
      <c r="E86" s="14">
        <v>10870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61" priority="3"/>
    <cfRule type="duplicateValues" dxfId="160" priority="4"/>
  </conditionalFormatting>
  <conditionalFormatting sqref="A1:A5">
    <cfRule type="duplicateValues" dxfId="159" priority="1"/>
    <cfRule type="duplicateValues" dxfId="15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63B9-F9CC-4BA3-8C56-17A032F79F54}">
  <sheetPr>
    <tabColor rgb="FFFF0000"/>
  </sheetPr>
  <dimension ref="A1:E91"/>
  <sheetViews>
    <sheetView workbookViewId="0">
      <selection sqref="A1:E5"/>
    </sheetView>
  </sheetViews>
  <sheetFormatPr defaultRowHeight="16" x14ac:dyDescent="0.8"/>
  <cols>
    <col min="1" max="1" width="12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x14ac:dyDescent="0.8">
      <c r="A1" s="225" t="s">
        <v>86</v>
      </c>
      <c r="B1" s="226"/>
      <c r="C1" s="43" t="s">
        <v>88</v>
      </c>
      <c r="D1" s="230">
        <v>44780</v>
      </c>
      <c r="E1" s="231"/>
    </row>
    <row r="2" spans="1:5" x14ac:dyDescent="0.8">
      <c r="A2" s="225" t="s">
        <v>87</v>
      </c>
      <c r="B2" s="226"/>
      <c r="C2" s="43" t="s">
        <v>90</v>
      </c>
      <c r="D2" s="230">
        <v>44779</v>
      </c>
      <c r="E2" s="231"/>
    </row>
    <row r="3" spans="1:5" x14ac:dyDescent="0.8">
      <c r="A3" s="225" t="s">
        <v>89</v>
      </c>
      <c r="B3" s="226"/>
      <c r="C3" s="43" t="s">
        <v>92</v>
      </c>
      <c r="D3" s="227">
        <v>45</v>
      </c>
      <c r="E3" s="228"/>
    </row>
    <row r="4" spans="1:5" x14ac:dyDescent="0.8">
      <c r="A4" s="225" t="s">
        <v>91</v>
      </c>
      <c r="B4" s="226"/>
      <c r="C4" s="43" t="s">
        <v>94</v>
      </c>
      <c r="D4" s="227" t="s">
        <v>95</v>
      </c>
      <c r="E4" s="228"/>
    </row>
    <row r="5" spans="1:5" x14ac:dyDescent="0.8">
      <c r="A5" s="225" t="s">
        <v>93</v>
      </c>
      <c r="B5" s="226"/>
      <c r="C5" s="43" t="s">
        <v>109</v>
      </c>
      <c r="D5" s="229">
        <f>GETPIVOTDATA("Sum of Total",$A$6)</f>
        <v>10915</v>
      </c>
      <c r="E5" s="229"/>
    </row>
    <row r="6" spans="1:5" x14ac:dyDescent="0.8">
      <c r="A6" s="84" t="s">
        <v>103</v>
      </c>
      <c r="B6" s="10" t="s">
        <v>105</v>
      </c>
      <c r="C6" s="10" t="s">
        <v>106</v>
      </c>
      <c r="D6" s="10" t="s">
        <v>107</v>
      </c>
      <c r="E6" s="10" t="s">
        <v>108</v>
      </c>
    </row>
    <row r="7" spans="1:5" x14ac:dyDescent="0.8">
      <c r="A7" s="37" t="s">
        <v>394</v>
      </c>
      <c r="B7" s="14">
        <v>125</v>
      </c>
      <c r="C7" s="14"/>
      <c r="D7" s="14"/>
      <c r="E7" s="14">
        <v>125</v>
      </c>
    </row>
    <row r="8" spans="1:5" x14ac:dyDescent="0.8">
      <c r="A8" s="37" t="s">
        <v>417</v>
      </c>
      <c r="B8" s="14">
        <v>85</v>
      </c>
      <c r="C8" s="14">
        <v>40</v>
      </c>
      <c r="D8" s="14"/>
      <c r="E8" s="14">
        <v>125</v>
      </c>
    </row>
    <row r="9" spans="1:5" x14ac:dyDescent="0.8">
      <c r="A9" s="37" t="s">
        <v>399</v>
      </c>
      <c r="B9" s="14">
        <v>125</v>
      </c>
      <c r="C9" s="14">
        <v>40</v>
      </c>
      <c r="D9" s="14"/>
      <c r="E9" s="14">
        <v>165</v>
      </c>
    </row>
    <row r="10" spans="1:5" x14ac:dyDescent="0.8">
      <c r="A10" s="37" t="s">
        <v>425</v>
      </c>
      <c r="B10" s="14">
        <v>125</v>
      </c>
      <c r="C10" s="14">
        <v>40</v>
      </c>
      <c r="D10" s="14"/>
      <c r="E10" s="14">
        <v>165</v>
      </c>
    </row>
    <row r="11" spans="1:5" x14ac:dyDescent="0.8">
      <c r="A11" s="37" t="s">
        <v>423</v>
      </c>
      <c r="B11" s="14">
        <v>125</v>
      </c>
      <c r="C11" s="14">
        <v>40</v>
      </c>
      <c r="D11" s="14"/>
      <c r="E11" s="14">
        <v>165</v>
      </c>
    </row>
    <row r="12" spans="1:5" x14ac:dyDescent="0.8">
      <c r="A12" s="37" t="s">
        <v>409</v>
      </c>
      <c r="B12" s="14">
        <v>125</v>
      </c>
      <c r="C12" s="14">
        <v>40</v>
      </c>
      <c r="D12" s="14"/>
      <c r="E12" s="14">
        <v>165</v>
      </c>
    </row>
    <row r="13" spans="1:5" x14ac:dyDescent="0.8">
      <c r="A13" s="37" t="s">
        <v>405</v>
      </c>
      <c r="B13" s="14">
        <v>125</v>
      </c>
      <c r="C13" s="14">
        <v>40</v>
      </c>
      <c r="D13" s="14"/>
      <c r="E13" s="14">
        <v>165</v>
      </c>
    </row>
    <row r="14" spans="1:5" x14ac:dyDescent="0.8">
      <c r="A14" s="37" t="s">
        <v>395</v>
      </c>
      <c r="B14" s="14">
        <v>185</v>
      </c>
      <c r="C14" s="14">
        <v>40</v>
      </c>
      <c r="D14" s="14"/>
      <c r="E14" s="14">
        <v>225</v>
      </c>
    </row>
    <row r="15" spans="1:5" x14ac:dyDescent="0.8">
      <c r="A15" s="37" t="s">
        <v>436</v>
      </c>
      <c r="B15" s="14">
        <v>85</v>
      </c>
      <c r="C15" s="14">
        <v>40</v>
      </c>
      <c r="D15" s="14"/>
      <c r="E15" s="14">
        <v>125</v>
      </c>
    </row>
    <row r="16" spans="1:5" x14ac:dyDescent="0.8">
      <c r="A16" s="37" t="s">
        <v>403</v>
      </c>
      <c r="B16" s="14">
        <v>125</v>
      </c>
      <c r="C16" s="14">
        <v>40</v>
      </c>
      <c r="D16" s="14"/>
      <c r="E16" s="14">
        <v>165</v>
      </c>
    </row>
    <row r="17" spans="1:5" x14ac:dyDescent="0.8">
      <c r="A17" s="37" t="s">
        <v>433</v>
      </c>
      <c r="B17" s="14">
        <v>105</v>
      </c>
      <c r="C17" s="14"/>
      <c r="D17" s="14">
        <v>40</v>
      </c>
      <c r="E17" s="14">
        <v>145</v>
      </c>
    </row>
    <row r="18" spans="1:5" x14ac:dyDescent="0.8">
      <c r="A18" s="37" t="s">
        <v>393</v>
      </c>
      <c r="B18" s="14">
        <v>125</v>
      </c>
      <c r="C18" s="14">
        <v>40</v>
      </c>
      <c r="D18" s="14"/>
      <c r="E18" s="14">
        <v>165</v>
      </c>
    </row>
    <row r="19" spans="1:5" x14ac:dyDescent="0.8">
      <c r="A19" s="37" t="s">
        <v>392</v>
      </c>
      <c r="B19" s="14">
        <v>105</v>
      </c>
      <c r="C19" s="14"/>
      <c r="D19" s="14"/>
      <c r="E19" s="14">
        <v>105</v>
      </c>
    </row>
    <row r="20" spans="1:5" x14ac:dyDescent="0.8">
      <c r="A20" s="37" t="s">
        <v>401</v>
      </c>
      <c r="B20" s="14">
        <v>125</v>
      </c>
      <c r="C20" s="14">
        <v>40</v>
      </c>
      <c r="D20" s="14">
        <v>45</v>
      </c>
      <c r="E20" s="14">
        <v>210</v>
      </c>
    </row>
    <row r="21" spans="1:5" x14ac:dyDescent="0.8">
      <c r="A21" s="37" t="s">
        <v>441</v>
      </c>
      <c r="B21" s="14">
        <v>125</v>
      </c>
      <c r="C21" s="14">
        <v>40</v>
      </c>
      <c r="D21" s="14"/>
      <c r="E21" s="14">
        <v>165</v>
      </c>
    </row>
    <row r="22" spans="1:5" x14ac:dyDescent="0.8">
      <c r="A22" s="37" t="s">
        <v>398</v>
      </c>
      <c r="B22" s="14">
        <v>85</v>
      </c>
      <c r="C22" s="14">
        <v>40</v>
      </c>
      <c r="D22" s="14"/>
      <c r="E22" s="14">
        <v>125</v>
      </c>
    </row>
    <row r="23" spans="1:5" x14ac:dyDescent="0.8">
      <c r="A23" s="37" t="s">
        <v>415</v>
      </c>
      <c r="B23" s="14">
        <v>125</v>
      </c>
      <c r="C23" s="14"/>
      <c r="D23" s="14"/>
      <c r="E23" s="14">
        <v>125</v>
      </c>
    </row>
    <row r="24" spans="1:5" x14ac:dyDescent="0.8">
      <c r="A24" s="37" t="s">
        <v>449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37" t="s">
        <v>397</v>
      </c>
      <c r="B25" s="14">
        <v>125</v>
      </c>
      <c r="C25" s="14">
        <v>40</v>
      </c>
      <c r="D25" s="14"/>
      <c r="E25" s="14">
        <v>165</v>
      </c>
    </row>
    <row r="26" spans="1:5" x14ac:dyDescent="0.8">
      <c r="A26" s="37" t="s">
        <v>396</v>
      </c>
      <c r="B26" s="14">
        <v>125</v>
      </c>
      <c r="C26" s="14">
        <v>40</v>
      </c>
      <c r="D26" s="14"/>
      <c r="E26" s="14">
        <v>165</v>
      </c>
    </row>
    <row r="27" spans="1:5" x14ac:dyDescent="0.8">
      <c r="A27" s="37" t="s">
        <v>427</v>
      </c>
      <c r="B27" s="14">
        <v>85</v>
      </c>
      <c r="C27" s="14"/>
      <c r="D27" s="14"/>
      <c r="E27" s="14">
        <v>85</v>
      </c>
    </row>
    <row r="28" spans="1:5" x14ac:dyDescent="0.8">
      <c r="A28" s="37" t="s">
        <v>420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428</v>
      </c>
      <c r="B29" s="14">
        <v>105</v>
      </c>
      <c r="C29" s="14"/>
      <c r="D29" s="14">
        <v>40</v>
      </c>
      <c r="E29" s="14">
        <v>145</v>
      </c>
    </row>
    <row r="30" spans="1:5" x14ac:dyDescent="0.8">
      <c r="A30" s="37" t="s">
        <v>431</v>
      </c>
      <c r="B30" s="14">
        <v>125</v>
      </c>
      <c r="C30" s="14">
        <v>40</v>
      </c>
      <c r="D30" s="14"/>
      <c r="E30" s="14">
        <v>165</v>
      </c>
    </row>
    <row r="31" spans="1:5" x14ac:dyDescent="0.8">
      <c r="A31" s="37" t="s">
        <v>407</v>
      </c>
      <c r="B31" s="14">
        <v>85</v>
      </c>
      <c r="C31" s="14"/>
      <c r="D31" s="14"/>
      <c r="E31" s="14">
        <v>85</v>
      </c>
    </row>
    <row r="32" spans="1:5" x14ac:dyDescent="0.8">
      <c r="A32" s="37" t="s">
        <v>408</v>
      </c>
      <c r="B32" s="14">
        <v>105</v>
      </c>
      <c r="C32" s="14">
        <v>40</v>
      </c>
      <c r="D32" s="14"/>
      <c r="E32" s="14">
        <v>145</v>
      </c>
    </row>
    <row r="33" spans="1:5" x14ac:dyDescent="0.8">
      <c r="A33" s="37" t="s">
        <v>406</v>
      </c>
      <c r="B33" s="14">
        <v>125</v>
      </c>
      <c r="C33" s="14"/>
      <c r="D33" s="14"/>
      <c r="E33" s="14">
        <v>125</v>
      </c>
    </row>
    <row r="34" spans="1:5" x14ac:dyDescent="0.8">
      <c r="A34" s="37" t="s">
        <v>424</v>
      </c>
      <c r="B34" s="14">
        <v>40</v>
      </c>
      <c r="C34" s="14"/>
      <c r="D34" s="14"/>
      <c r="E34" s="14">
        <v>40</v>
      </c>
    </row>
    <row r="35" spans="1:5" x14ac:dyDescent="0.8">
      <c r="A35" s="37" t="s">
        <v>402</v>
      </c>
      <c r="B35" s="14">
        <v>125</v>
      </c>
      <c r="C35" s="14">
        <v>40</v>
      </c>
      <c r="D35" s="14"/>
      <c r="E35" s="14">
        <v>165</v>
      </c>
    </row>
    <row r="36" spans="1:5" x14ac:dyDescent="0.8">
      <c r="A36" s="37" t="s">
        <v>422</v>
      </c>
      <c r="B36" s="14">
        <v>125</v>
      </c>
      <c r="C36" s="14">
        <v>40</v>
      </c>
      <c r="D36" s="14"/>
      <c r="E36" s="14">
        <v>165</v>
      </c>
    </row>
    <row r="37" spans="1:5" x14ac:dyDescent="0.8">
      <c r="A37" s="37" t="s">
        <v>413</v>
      </c>
      <c r="B37" s="14">
        <v>125</v>
      </c>
      <c r="C37" s="14">
        <v>40</v>
      </c>
      <c r="D37" s="14"/>
      <c r="E37" s="14">
        <v>165</v>
      </c>
    </row>
    <row r="38" spans="1:5" x14ac:dyDescent="0.8">
      <c r="A38" s="37" t="s">
        <v>445</v>
      </c>
      <c r="B38" s="14">
        <v>125</v>
      </c>
      <c r="C38" s="14">
        <v>40</v>
      </c>
      <c r="D38" s="14"/>
      <c r="E38" s="14">
        <v>165</v>
      </c>
    </row>
    <row r="39" spans="1:5" x14ac:dyDescent="0.8">
      <c r="A39" s="37" t="s">
        <v>461</v>
      </c>
      <c r="B39" s="14">
        <v>105</v>
      </c>
      <c r="C39" s="14"/>
      <c r="D39" s="14"/>
      <c r="E39" s="14">
        <v>105</v>
      </c>
    </row>
    <row r="40" spans="1:5" x14ac:dyDescent="0.8">
      <c r="A40" s="37" t="s">
        <v>432</v>
      </c>
      <c r="B40" s="14">
        <v>155</v>
      </c>
      <c r="C40" s="14">
        <v>40</v>
      </c>
      <c r="D40" s="14"/>
      <c r="E40" s="14">
        <v>195</v>
      </c>
    </row>
    <row r="41" spans="1:5" x14ac:dyDescent="0.8">
      <c r="A41" s="37" t="s">
        <v>465</v>
      </c>
      <c r="B41" s="14">
        <v>125</v>
      </c>
      <c r="C41" s="14"/>
      <c r="D41" s="14"/>
      <c r="E41" s="14">
        <v>125</v>
      </c>
    </row>
    <row r="42" spans="1:5" x14ac:dyDescent="0.8">
      <c r="A42" s="37" t="s">
        <v>444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37" t="s">
        <v>460</v>
      </c>
      <c r="B43" s="14">
        <v>85</v>
      </c>
      <c r="C43" s="14"/>
      <c r="D43" s="14"/>
      <c r="E43" s="14">
        <v>85</v>
      </c>
    </row>
    <row r="44" spans="1:5" x14ac:dyDescent="0.8">
      <c r="A44" s="37" t="s">
        <v>419</v>
      </c>
      <c r="B44" s="14">
        <v>85</v>
      </c>
      <c r="C44" s="14">
        <v>40</v>
      </c>
      <c r="D44" s="14"/>
      <c r="E44" s="14">
        <v>125</v>
      </c>
    </row>
    <row r="45" spans="1:5" x14ac:dyDescent="0.8">
      <c r="A45" s="37" t="s">
        <v>434</v>
      </c>
      <c r="B45" s="14">
        <v>40</v>
      </c>
      <c r="C45" s="14"/>
      <c r="D45" s="14"/>
      <c r="E45" s="14">
        <v>40</v>
      </c>
    </row>
    <row r="46" spans="1:5" x14ac:dyDescent="0.8">
      <c r="A46" s="37" t="s">
        <v>448</v>
      </c>
      <c r="B46" s="14">
        <v>40</v>
      </c>
      <c r="C46" s="14"/>
      <c r="D46" s="14"/>
      <c r="E46" s="14">
        <v>40</v>
      </c>
    </row>
    <row r="47" spans="1:5" x14ac:dyDescent="0.8">
      <c r="A47" s="37" t="s">
        <v>400</v>
      </c>
      <c r="B47" s="14">
        <v>125</v>
      </c>
      <c r="C47" s="14">
        <v>40</v>
      </c>
      <c r="D47" s="14"/>
      <c r="E47" s="14">
        <v>165</v>
      </c>
    </row>
    <row r="48" spans="1:5" x14ac:dyDescent="0.8">
      <c r="A48" s="37" t="s">
        <v>418</v>
      </c>
      <c r="B48" s="14">
        <v>85</v>
      </c>
      <c r="C48" s="14"/>
      <c r="D48" s="14"/>
      <c r="E48" s="14">
        <v>85</v>
      </c>
    </row>
    <row r="49" spans="1:5" x14ac:dyDescent="0.8">
      <c r="A49" s="37" t="s">
        <v>435</v>
      </c>
      <c r="B49" s="14">
        <v>125</v>
      </c>
      <c r="C49" s="14"/>
      <c r="D49" s="14"/>
      <c r="E49" s="14">
        <v>125</v>
      </c>
    </row>
    <row r="50" spans="1:5" x14ac:dyDescent="0.8">
      <c r="A50" s="37" t="s">
        <v>429</v>
      </c>
      <c r="B50" s="14">
        <v>125</v>
      </c>
      <c r="C50" s="14"/>
      <c r="D50" s="14"/>
      <c r="E50" s="14">
        <v>125</v>
      </c>
    </row>
    <row r="51" spans="1:5" x14ac:dyDescent="0.8">
      <c r="A51" s="37" t="s">
        <v>421</v>
      </c>
      <c r="B51" s="14">
        <v>85</v>
      </c>
      <c r="C51" s="14">
        <v>40</v>
      </c>
      <c r="D51" s="14"/>
      <c r="E51" s="14">
        <v>125</v>
      </c>
    </row>
    <row r="52" spans="1:5" x14ac:dyDescent="0.8">
      <c r="A52" s="37" t="s">
        <v>412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411</v>
      </c>
      <c r="B53" s="14">
        <v>125</v>
      </c>
      <c r="C53" s="14">
        <v>40</v>
      </c>
      <c r="D53" s="14"/>
      <c r="E53" s="14">
        <v>165</v>
      </c>
    </row>
    <row r="54" spans="1:5" x14ac:dyDescent="0.8">
      <c r="A54" s="37" t="s">
        <v>416</v>
      </c>
      <c r="B54" s="14">
        <v>85</v>
      </c>
      <c r="C54" s="14">
        <v>40</v>
      </c>
      <c r="D54" s="14"/>
      <c r="E54" s="14">
        <v>125</v>
      </c>
    </row>
    <row r="55" spans="1:5" x14ac:dyDescent="0.8">
      <c r="A55" s="37" t="s">
        <v>447</v>
      </c>
      <c r="B55" s="14">
        <v>125</v>
      </c>
      <c r="C55" s="14">
        <v>40</v>
      </c>
      <c r="D55" s="14"/>
      <c r="E55" s="14">
        <v>165</v>
      </c>
    </row>
    <row r="56" spans="1:5" x14ac:dyDescent="0.8">
      <c r="A56" s="37" t="s">
        <v>452</v>
      </c>
      <c r="B56" s="14">
        <v>125</v>
      </c>
      <c r="C56" s="14">
        <v>40</v>
      </c>
      <c r="D56" s="14">
        <v>45</v>
      </c>
      <c r="E56" s="14">
        <v>210</v>
      </c>
    </row>
    <row r="57" spans="1:5" x14ac:dyDescent="0.8">
      <c r="A57" s="37" t="s">
        <v>404</v>
      </c>
      <c r="B57" s="14">
        <v>40</v>
      </c>
      <c r="C57" s="14">
        <v>40</v>
      </c>
      <c r="D57" s="14"/>
      <c r="E57" s="14">
        <v>80</v>
      </c>
    </row>
    <row r="58" spans="1:5" x14ac:dyDescent="0.8">
      <c r="A58" s="37" t="s">
        <v>414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37" t="s">
        <v>474</v>
      </c>
      <c r="B59" s="14">
        <v>85</v>
      </c>
      <c r="C59" s="14">
        <v>40</v>
      </c>
      <c r="D59" s="14"/>
      <c r="E59" s="14">
        <v>125</v>
      </c>
    </row>
    <row r="60" spans="1:5" x14ac:dyDescent="0.8">
      <c r="A60" s="37" t="s">
        <v>451</v>
      </c>
      <c r="B60" s="14">
        <v>125</v>
      </c>
      <c r="C60" s="14">
        <v>40</v>
      </c>
      <c r="D60" s="14"/>
      <c r="E60" s="14">
        <v>165</v>
      </c>
    </row>
    <row r="61" spans="1:5" x14ac:dyDescent="0.8">
      <c r="A61" s="37" t="s">
        <v>467</v>
      </c>
      <c r="B61" s="14">
        <v>40</v>
      </c>
      <c r="C61" s="14"/>
      <c r="D61" s="14"/>
      <c r="E61" s="14">
        <v>40</v>
      </c>
    </row>
    <row r="62" spans="1:5" x14ac:dyDescent="0.8">
      <c r="A62" s="37" t="s">
        <v>437</v>
      </c>
      <c r="B62" s="14">
        <v>125</v>
      </c>
      <c r="C62" s="14">
        <v>40</v>
      </c>
      <c r="D62" s="14"/>
      <c r="E62" s="14">
        <v>165</v>
      </c>
    </row>
    <row r="63" spans="1:5" x14ac:dyDescent="0.8">
      <c r="A63" s="37" t="s">
        <v>466</v>
      </c>
      <c r="B63" s="14">
        <v>85</v>
      </c>
      <c r="C63" s="14">
        <v>40</v>
      </c>
      <c r="D63" s="14"/>
      <c r="E63" s="14">
        <v>125</v>
      </c>
    </row>
    <row r="64" spans="1:5" x14ac:dyDescent="0.8">
      <c r="A64" s="37" t="s">
        <v>469</v>
      </c>
      <c r="B64" s="14">
        <v>125</v>
      </c>
      <c r="C64" s="14"/>
      <c r="D64" s="14"/>
      <c r="E64" s="14">
        <v>125</v>
      </c>
    </row>
    <row r="65" spans="1:5" x14ac:dyDescent="0.8">
      <c r="A65" s="37" t="s">
        <v>442</v>
      </c>
      <c r="B65" s="14">
        <v>125</v>
      </c>
      <c r="C65" s="14">
        <v>40</v>
      </c>
      <c r="D65" s="14"/>
      <c r="E65" s="14">
        <v>165</v>
      </c>
    </row>
    <row r="66" spans="1:5" x14ac:dyDescent="0.8">
      <c r="A66" s="37" t="s">
        <v>453</v>
      </c>
      <c r="B66" s="14">
        <v>125</v>
      </c>
      <c r="C66" s="14"/>
      <c r="D66" s="14"/>
      <c r="E66" s="14">
        <v>125</v>
      </c>
    </row>
    <row r="67" spans="1:5" x14ac:dyDescent="0.8">
      <c r="A67" s="37" t="s">
        <v>471</v>
      </c>
      <c r="B67" s="14">
        <v>40</v>
      </c>
      <c r="C67" s="14"/>
      <c r="D67" s="14"/>
      <c r="E67" s="14">
        <v>40</v>
      </c>
    </row>
    <row r="68" spans="1:5" x14ac:dyDescent="0.8">
      <c r="A68" s="37" t="s">
        <v>446</v>
      </c>
      <c r="B68" s="14">
        <v>125</v>
      </c>
      <c r="C68" s="14"/>
      <c r="D68" s="14"/>
      <c r="E68" s="14">
        <v>125</v>
      </c>
    </row>
    <row r="69" spans="1:5" x14ac:dyDescent="0.8">
      <c r="A69" s="37" t="s">
        <v>450</v>
      </c>
      <c r="B69" s="14">
        <v>105</v>
      </c>
      <c r="C69" s="14">
        <v>40</v>
      </c>
      <c r="D69" s="14"/>
      <c r="E69" s="14">
        <v>145</v>
      </c>
    </row>
    <row r="70" spans="1:5" x14ac:dyDescent="0.8">
      <c r="A70" s="37" t="s">
        <v>430</v>
      </c>
      <c r="B70" s="14">
        <v>85</v>
      </c>
      <c r="C70" s="14"/>
      <c r="D70" s="14"/>
      <c r="E70" s="14">
        <v>85</v>
      </c>
    </row>
    <row r="71" spans="1:5" x14ac:dyDescent="0.8">
      <c r="A71" s="37" t="s">
        <v>426</v>
      </c>
      <c r="B71" s="14">
        <v>40</v>
      </c>
      <c r="C71" s="14"/>
      <c r="D71" s="14"/>
      <c r="E71" s="14">
        <v>40</v>
      </c>
    </row>
    <row r="72" spans="1:5" x14ac:dyDescent="0.8">
      <c r="A72" s="37" t="s">
        <v>468</v>
      </c>
      <c r="B72" s="14">
        <v>105</v>
      </c>
      <c r="C72" s="14">
        <v>40</v>
      </c>
      <c r="D72" s="14"/>
      <c r="E72" s="14">
        <v>145</v>
      </c>
    </row>
    <row r="73" spans="1:5" x14ac:dyDescent="0.8">
      <c r="A73" s="37" t="s">
        <v>462</v>
      </c>
      <c r="B73" s="14">
        <v>105</v>
      </c>
      <c r="C73" s="14"/>
      <c r="D73" s="14"/>
      <c r="E73" s="14">
        <v>105</v>
      </c>
    </row>
    <row r="74" spans="1:5" x14ac:dyDescent="0.8">
      <c r="A74" s="37" t="s">
        <v>443</v>
      </c>
      <c r="B74" s="14">
        <v>85</v>
      </c>
      <c r="C74" s="14"/>
      <c r="D74" s="14"/>
      <c r="E74" s="14">
        <v>85</v>
      </c>
    </row>
    <row r="75" spans="1:5" x14ac:dyDescent="0.8">
      <c r="A75" s="37" t="s">
        <v>439</v>
      </c>
      <c r="B75" s="14">
        <v>85</v>
      </c>
      <c r="C75" s="14"/>
      <c r="D75" s="14"/>
      <c r="E75" s="14">
        <v>85</v>
      </c>
    </row>
    <row r="76" spans="1:5" x14ac:dyDescent="0.8">
      <c r="A76" s="37" t="s">
        <v>473</v>
      </c>
      <c r="B76" s="14">
        <v>125</v>
      </c>
      <c r="C76" s="14">
        <v>40</v>
      </c>
      <c r="D76" s="14"/>
      <c r="E76" s="14">
        <v>165</v>
      </c>
    </row>
    <row r="77" spans="1:5" x14ac:dyDescent="0.8">
      <c r="A77" s="37" t="s">
        <v>475</v>
      </c>
      <c r="B77" s="14">
        <v>85</v>
      </c>
      <c r="C77" s="14"/>
      <c r="D77" s="14"/>
      <c r="E77" s="14">
        <v>85</v>
      </c>
    </row>
    <row r="78" spans="1:5" x14ac:dyDescent="0.8">
      <c r="A78" s="37" t="s">
        <v>440</v>
      </c>
      <c r="B78" s="14">
        <v>85</v>
      </c>
      <c r="C78" s="14"/>
      <c r="D78" s="14"/>
      <c r="E78" s="14">
        <v>85</v>
      </c>
    </row>
    <row r="79" spans="1:5" x14ac:dyDescent="0.8">
      <c r="A79" s="37" t="s">
        <v>454</v>
      </c>
      <c r="B79" s="14">
        <v>125</v>
      </c>
      <c r="C79" s="14">
        <v>40</v>
      </c>
      <c r="D79" s="14"/>
      <c r="E79" s="14">
        <v>165</v>
      </c>
    </row>
    <row r="80" spans="1:5" x14ac:dyDescent="0.8">
      <c r="A80" s="37" t="s">
        <v>438</v>
      </c>
      <c r="B80" s="14">
        <v>85</v>
      </c>
      <c r="C80" s="14"/>
      <c r="D80" s="14"/>
      <c r="E80" s="14">
        <v>85</v>
      </c>
    </row>
    <row r="81" spans="1:5" x14ac:dyDescent="0.8">
      <c r="A81" s="37" t="s">
        <v>459</v>
      </c>
      <c r="B81" s="14">
        <v>85</v>
      </c>
      <c r="C81" s="14"/>
      <c r="D81" s="14"/>
      <c r="E81" s="14">
        <v>85</v>
      </c>
    </row>
    <row r="82" spans="1:5" x14ac:dyDescent="0.8">
      <c r="A82" s="37" t="s">
        <v>458</v>
      </c>
      <c r="B82" s="14">
        <v>85</v>
      </c>
      <c r="C82" s="14"/>
      <c r="D82" s="14"/>
      <c r="E82" s="14">
        <v>85</v>
      </c>
    </row>
    <row r="83" spans="1:5" x14ac:dyDescent="0.8">
      <c r="A83" s="37" t="s">
        <v>457</v>
      </c>
      <c r="B83" s="14">
        <v>85</v>
      </c>
      <c r="C83" s="14"/>
      <c r="D83" s="14"/>
      <c r="E83" s="14">
        <v>85</v>
      </c>
    </row>
    <row r="84" spans="1:5" x14ac:dyDescent="0.8">
      <c r="A84" s="37" t="s">
        <v>472</v>
      </c>
      <c r="B84" s="14">
        <v>125</v>
      </c>
      <c r="C84" s="14"/>
      <c r="D84" s="14"/>
      <c r="E84" s="14">
        <v>125</v>
      </c>
    </row>
    <row r="85" spans="1:5" x14ac:dyDescent="0.8">
      <c r="A85" s="37" t="s">
        <v>455</v>
      </c>
      <c r="B85" s="14">
        <v>85</v>
      </c>
      <c r="C85" s="14"/>
      <c r="D85" s="14"/>
      <c r="E85" s="14">
        <v>85</v>
      </c>
    </row>
    <row r="86" spans="1:5" x14ac:dyDescent="0.8">
      <c r="A86" s="37" t="s">
        <v>456</v>
      </c>
      <c r="B86" s="14">
        <v>85</v>
      </c>
      <c r="C86" s="14"/>
      <c r="D86" s="14"/>
      <c r="E86" s="14">
        <v>85</v>
      </c>
    </row>
    <row r="87" spans="1:5" x14ac:dyDescent="0.8">
      <c r="A87" s="37" t="s">
        <v>463</v>
      </c>
      <c r="B87" s="14">
        <v>125</v>
      </c>
      <c r="C87" s="14">
        <v>40</v>
      </c>
      <c r="D87" s="14"/>
      <c r="E87" s="14">
        <v>165</v>
      </c>
    </row>
    <row r="88" spans="1:5" x14ac:dyDescent="0.8">
      <c r="A88" s="37" t="s">
        <v>464</v>
      </c>
      <c r="B88" s="14">
        <v>85</v>
      </c>
      <c r="C88" s="14"/>
      <c r="D88" s="14"/>
      <c r="E88" s="14">
        <v>85</v>
      </c>
    </row>
    <row r="89" spans="1:5" x14ac:dyDescent="0.8">
      <c r="A89" s="37" t="s">
        <v>470</v>
      </c>
      <c r="B89" s="14">
        <v>155</v>
      </c>
      <c r="C89" s="14"/>
      <c r="D89" s="14"/>
      <c r="E89" s="14">
        <v>155</v>
      </c>
    </row>
    <row r="90" spans="1:5" x14ac:dyDescent="0.8">
      <c r="A90" s="37" t="s">
        <v>477</v>
      </c>
      <c r="B90" s="14">
        <v>125</v>
      </c>
      <c r="C90" s="14">
        <v>40</v>
      </c>
      <c r="D90" s="14"/>
      <c r="E90" s="14">
        <v>165</v>
      </c>
    </row>
    <row r="91" spans="1:5" x14ac:dyDescent="0.8">
      <c r="A91" s="37" t="s">
        <v>104</v>
      </c>
      <c r="B91" s="14">
        <v>8905</v>
      </c>
      <c r="C91" s="14">
        <v>1840</v>
      </c>
      <c r="D91" s="14">
        <v>170</v>
      </c>
      <c r="E91" s="14">
        <v>10915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57" priority="3"/>
    <cfRule type="duplicateValues" dxfId="156" priority="4"/>
  </conditionalFormatting>
  <conditionalFormatting sqref="A1:A5">
    <cfRule type="duplicateValues" dxfId="155" priority="2"/>
  </conditionalFormatting>
  <conditionalFormatting sqref="A1:A5">
    <cfRule type="duplicateValues" dxfId="154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5FD3-382C-4D2D-A4EF-C5C36DF4C9AA}">
  <sheetPr>
    <tabColor rgb="FF00B050"/>
  </sheetPr>
  <dimension ref="A1:K61"/>
  <sheetViews>
    <sheetView topLeftCell="A8" zoomScale="80" zoomScaleNormal="80" workbookViewId="0">
      <selection activeCell="C28" sqref="C28"/>
    </sheetView>
  </sheetViews>
  <sheetFormatPr defaultRowHeight="16" x14ac:dyDescent="0.8"/>
  <cols>
    <col min="1" max="1" width="16.75" customWidth="1"/>
    <col min="2" max="2" width="17.875" customWidth="1"/>
    <col min="3" max="3" width="19.125" customWidth="1"/>
    <col min="4" max="4" width="17.875" customWidth="1"/>
    <col min="5" max="5" width="30.08203125" customWidth="1"/>
    <col min="6" max="6" width="38.95703125" customWidth="1"/>
    <col min="7" max="7" width="14.9140625" customWidth="1"/>
    <col min="8" max="8" width="13.20703125" customWidth="1"/>
    <col min="9" max="9" width="14.4140625" customWidth="1"/>
    <col min="10" max="10" width="10.25" customWidth="1"/>
  </cols>
  <sheetData>
    <row r="1" spans="1:10" hidden="1" x14ac:dyDescent="0.8">
      <c r="A1" s="15" t="s">
        <v>86</v>
      </c>
    </row>
    <row r="2" spans="1:10" hidden="1" x14ac:dyDescent="0.8">
      <c r="A2" s="15" t="s">
        <v>87</v>
      </c>
      <c r="C2" s="16" t="s">
        <v>88</v>
      </c>
      <c r="D2" s="17">
        <v>44757</v>
      </c>
    </row>
    <row r="3" spans="1:10" hidden="1" x14ac:dyDescent="0.8">
      <c r="A3" s="15" t="s">
        <v>89</v>
      </c>
      <c r="C3" s="16" t="s">
        <v>90</v>
      </c>
      <c r="D3" s="17">
        <v>44751</v>
      </c>
    </row>
    <row r="4" spans="1:10" hidden="1" x14ac:dyDescent="0.8">
      <c r="A4" s="15" t="s">
        <v>91</v>
      </c>
      <c r="C4" s="16" t="s">
        <v>92</v>
      </c>
      <c r="D4">
        <v>38</v>
      </c>
    </row>
    <row r="5" spans="1:10" hidden="1" x14ac:dyDescent="0.8">
      <c r="A5" s="15" t="s">
        <v>93</v>
      </c>
      <c r="C5" s="16" t="s">
        <v>94</v>
      </c>
      <c r="D5" t="s">
        <v>95</v>
      </c>
    </row>
    <row r="6" spans="1:10" hidden="1" x14ac:dyDescent="0.8">
      <c r="C6" s="16" t="s">
        <v>96</v>
      </c>
    </row>
    <row r="7" spans="1:10" hidden="1" x14ac:dyDescent="0.8">
      <c r="C7" s="16" t="s">
        <v>97</v>
      </c>
      <c r="D7" s="18">
        <v>6735</v>
      </c>
    </row>
    <row r="8" spans="1:10" s="70" customFormat="1" ht="32" x14ac:dyDescent="0.8">
      <c r="A8" s="64" t="s">
        <v>0</v>
      </c>
      <c r="B8" s="64" t="s">
        <v>1</v>
      </c>
      <c r="C8" s="65" t="s">
        <v>2</v>
      </c>
      <c r="D8" s="66" t="s">
        <v>3</v>
      </c>
      <c r="E8" s="66" t="s">
        <v>4</v>
      </c>
      <c r="F8" s="67" t="s">
        <v>4</v>
      </c>
      <c r="G8" s="68" t="s">
        <v>100</v>
      </c>
      <c r="H8" s="68" t="s">
        <v>98</v>
      </c>
      <c r="I8" s="68" t="s">
        <v>99</v>
      </c>
      <c r="J8" s="69" t="s">
        <v>97</v>
      </c>
    </row>
    <row r="9" spans="1:10" x14ac:dyDescent="0.8">
      <c r="A9" s="10" t="s">
        <v>46</v>
      </c>
      <c r="B9" s="10" t="s">
        <v>47</v>
      </c>
      <c r="C9" s="10" t="s">
        <v>20</v>
      </c>
      <c r="D9" s="10" t="s">
        <v>17</v>
      </c>
      <c r="E9" s="10"/>
      <c r="F9" s="10" t="s">
        <v>9</v>
      </c>
      <c r="G9" s="11">
        <v>105</v>
      </c>
      <c r="H9" s="11"/>
      <c r="I9" s="11">
        <v>40</v>
      </c>
      <c r="J9" s="12">
        <f>SUM(G9:I9)</f>
        <v>145</v>
      </c>
    </row>
    <row r="10" spans="1:10" x14ac:dyDescent="0.8">
      <c r="A10" s="10" t="s">
        <v>46</v>
      </c>
      <c r="B10" s="10" t="s">
        <v>48</v>
      </c>
      <c r="C10" s="10" t="s">
        <v>24</v>
      </c>
      <c r="D10" s="10" t="s">
        <v>15</v>
      </c>
      <c r="E10" s="10"/>
      <c r="F10" s="10"/>
      <c r="G10" s="11">
        <v>40</v>
      </c>
      <c r="H10" s="11"/>
      <c r="I10" s="11"/>
      <c r="J10" s="12">
        <f t="shared" ref="J10:J19" si="0">SUM(G10:I10)</f>
        <v>40</v>
      </c>
    </row>
    <row r="11" spans="1:10" x14ac:dyDescent="0.8">
      <c r="A11" s="10" t="s">
        <v>46</v>
      </c>
      <c r="B11" s="10" t="s">
        <v>49</v>
      </c>
      <c r="C11" s="10" t="s">
        <v>24</v>
      </c>
      <c r="D11" s="10" t="s">
        <v>8</v>
      </c>
      <c r="E11" s="10"/>
      <c r="F11" s="10"/>
      <c r="G11" s="11">
        <v>125</v>
      </c>
      <c r="H11" s="11">
        <v>40</v>
      </c>
      <c r="I11" s="11"/>
      <c r="J11" s="12">
        <f t="shared" si="0"/>
        <v>165</v>
      </c>
    </row>
    <row r="12" spans="1:10" x14ac:dyDescent="0.8">
      <c r="A12" s="10" t="s">
        <v>46</v>
      </c>
      <c r="B12" s="10" t="s">
        <v>50</v>
      </c>
      <c r="C12" s="10" t="s">
        <v>20</v>
      </c>
      <c r="D12" s="10" t="s">
        <v>33</v>
      </c>
      <c r="E12" s="10" t="s">
        <v>9</v>
      </c>
      <c r="F12" s="10"/>
      <c r="G12" s="11">
        <v>85</v>
      </c>
      <c r="H12" s="11">
        <v>40</v>
      </c>
      <c r="I12" s="11"/>
      <c r="J12" s="12">
        <f t="shared" si="0"/>
        <v>125</v>
      </c>
    </row>
    <row r="13" spans="1:10" x14ac:dyDescent="0.8">
      <c r="A13" s="10" t="s">
        <v>46</v>
      </c>
      <c r="B13" s="10" t="s">
        <v>51</v>
      </c>
      <c r="C13" s="10" t="s">
        <v>20</v>
      </c>
      <c r="D13" s="10" t="s">
        <v>8</v>
      </c>
      <c r="E13" s="10" t="s">
        <v>9</v>
      </c>
      <c r="F13" s="10"/>
      <c r="G13" s="11">
        <v>125</v>
      </c>
      <c r="H13" s="11">
        <v>40</v>
      </c>
      <c r="I13" s="11"/>
      <c r="J13" s="12">
        <f t="shared" si="0"/>
        <v>165</v>
      </c>
    </row>
    <row r="14" spans="1:10" x14ac:dyDescent="0.8">
      <c r="A14" s="10" t="s">
        <v>46</v>
      </c>
      <c r="B14" s="10" t="s">
        <v>52</v>
      </c>
      <c r="C14" s="10" t="s">
        <v>24</v>
      </c>
      <c r="D14" s="10" t="s">
        <v>15</v>
      </c>
      <c r="E14" s="10"/>
      <c r="F14" s="10"/>
      <c r="G14" s="11">
        <v>40</v>
      </c>
      <c r="H14" s="11"/>
      <c r="I14" s="11"/>
      <c r="J14" s="12">
        <f t="shared" si="0"/>
        <v>40</v>
      </c>
    </row>
    <row r="15" spans="1:10" x14ac:dyDescent="0.8">
      <c r="A15" s="10" t="s">
        <v>46</v>
      </c>
      <c r="B15" s="10" t="s">
        <v>53</v>
      </c>
      <c r="C15" s="10" t="s">
        <v>20</v>
      </c>
      <c r="D15" s="10" t="s">
        <v>8</v>
      </c>
      <c r="E15" s="10"/>
      <c r="F15" s="10" t="s">
        <v>9</v>
      </c>
      <c r="G15" s="11">
        <v>125</v>
      </c>
      <c r="H15" s="11"/>
      <c r="I15" s="11">
        <v>40</v>
      </c>
      <c r="J15" s="12">
        <f t="shared" si="0"/>
        <v>165</v>
      </c>
    </row>
    <row r="16" spans="1:10" ht="17.149999999999999" customHeight="1" x14ac:dyDescent="0.8">
      <c r="A16" s="10" t="s">
        <v>46</v>
      </c>
      <c r="B16" s="10" t="s">
        <v>54</v>
      </c>
      <c r="C16" s="10" t="s">
        <v>24</v>
      </c>
      <c r="D16" s="10" t="s">
        <v>8</v>
      </c>
      <c r="E16" s="10" t="s">
        <v>9</v>
      </c>
      <c r="F16" s="10"/>
      <c r="G16" s="11">
        <v>125</v>
      </c>
      <c r="H16" s="11">
        <v>40</v>
      </c>
      <c r="I16" s="11"/>
      <c r="J16" s="12">
        <f t="shared" si="0"/>
        <v>165</v>
      </c>
    </row>
    <row r="17" spans="1:10" x14ac:dyDescent="0.8">
      <c r="A17" s="10" t="s">
        <v>46</v>
      </c>
      <c r="B17" s="10" t="s">
        <v>55</v>
      </c>
      <c r="C17" s="10" t="s">
        <v>20</v>
      </c>
      <c r="D17" s="10" t="s">
        <v>8</v>
      </c>
      <c r="E17" s="10" t="s">
        <v>9</v>
      </c>
      <c r="F17" s="10"/>
      <c r="G17" s="11">
        <v>125</v>
      </c>
      <c r="H17" s="11">
        <v>40</v>
      </c>
      <c r="I17" s="11"/>
      <c r="J17" s="12">
        <f t="shared" si="0"/>
        <v>165</v>
      </c>
    </row>
    <row r="18" spans="1:10" x14ac:dyDescent="0.8">
      <c r="A18" s="10" t="s">
        <v>46</v>
      </c>
      <c r="B18" s="10" t="s">
        <v>56</v>
      </c>
      <c r="C18" s="10" t="s">
        <v>24</v>
      </c>
      <c r="D18" s="10" t="s">
        <v>15</v>
      </c>
      <c r="E18" s="10"/>
      <c r="F18" s="10"/>
      <c r="G18" s="11">
        <v>40</v>
      </c>
      <c r="H18" s="11"/>
      <c r="I18" s="11"/>
      <c r="J18" s="12">
        <f t="shared" si="0"/>
        <v>40</v>
      </c>
    </row>
    <row r="19" spans="1:10" x14ac:dyDescent="0.8">
      <c r="A19" s="10" t="s">
        <v>46</v>
      </c>
      <c r="B19" s="10" t="s">
        <v>57</v>
      </c>
      <c r="C19" s="10" t="s">
        <v>20</v>
      </c>
      <c r="D19" s="10" t="s">
        <v>8</v>
      </c>
      <c r="E19" s="10" t="s">
        <v>21</v>
      </c>
      <c r="F19" s="10"/>
      <c r="G19" s="11">
        <v>125</v>
      </c>
      <c r="H19" s="11">
        <v>45</v>
      </c>
      <c r="I19" s="11"/>
      <c r="J19" s="12">
        <f t="shared" si="0"/>
        <v>170</v>
      </c>
    </row>
    <row r="20" spans="1:10" x14ac:dyDescent="0.8">
      <c r="A20" s="10" t="s">
        <v>46</v>
      </c>
      <c r="B20" s="10" t="s">
        <v>58</v>
      </c>
      <c r="C20" s="10" t="s">
        <v>24</v>
      </c>
      <c r="D20" s="10" t="s">
        <v>15</v>
      </c>
      <c r="E20" s="10"/>
      <c r="F20" s="10"/>
      <c r="G20" s="11">
        <v>40</v>
      </c>
      <c r="H20" s="11"/>
      <c r="I20" s="11"/>
      <c r="J20" s="12">
        <v>40</v>
      </c>
    </row>
    <row r="21" spans="1:10" x14ac:dyDescent="0.8">
      <c r="A21" s="10" t="s">
        <v>5</v>
      </c>
      <c r="B21" s="10" t="s">
        <v>6</v>
      </c>
      <c r="C21" s="10" t="s">
        <v>7</v>
      </c>
      <c r="D21" s="10" t="s">
        <v>8</v>
      </c>
      <c r="E21" s="10" t="s">
        <v>9</v>
      </c>
      <c r="F21" s="10"/>
      <c r="G21" s="11">
        <v>125</v>
      </c>
      <c r="H21" s="11">
        <v>40</v>
      </c>
      <c r="I21" s="11"/>
      <c r="J21" s="12">
        <f>SUM(G21:I21)</f>
        <v>165</v>
      </c>
    </row>
    <row r="22" spans="1:10" x14ac:dyDescent="0.8">
      <c r="A22" s="10" t="s">
        <v>5</v>
      </c>
      <c r="B22" s="10" t="s">
        <v>11</v>
      </c>
      <c r="C22" s="10" t="s">
        <v>7</v>
      </c>
      <c r="D22" s="10" t="s">
        <v>8</v>
      </c>
      <c r="E22" s="10"/>
      <c r="F22" s="10"/>
      <c r="G22" s="11">
        <v>125</v>
      </c>
      <c r="H22" s="11"/>
      <c r="I22" s="11"/>
      <c r="J22" s="12">
        <f t="shared" ref="J22:J32" si="1">SUM(G22:I22)</f>
        <v>125</v>
      </c>
    </row>
    <row r="23" spans="1:10" x14ac:dyDescent="0.8">
      <c r="A23" s="10" t="s">
        <v>5</v>
      </c>
      <c r="B23" s="10" t="s">
        <v>12</v>
      </c>
      <c r="C23" s="10" t="s">
        <v>7</v>
      </c>
      <c r="D23" s="10" t="s">
        <v>8</v>
      </c>
      <c r="E23" s="10" t="s">
        <v>9</v>
      </c>
      <c r="F23" s="10"/>
      <c r="G23" s="11">
        <v>125</v>
      </c>
      <c r="H23" s="11">
        <v>40</v>
      </c>
      <c r="I23" s="11"/>
      <c r="J23" s="12">
        <f t="shared" si="1"/>
        <v>165</v>
      </c>
    </row>
    <row r="24" spans="1:10" ht="16.5" customHeight="1" x14ac:dyDescent="0.8">
      <c r="A24" s="10" t="s">
        <v>5</v>
      </c>
      <c r="B24" s="10" t="s">
        <v>13</v>
      </c>
      <c r="C24" s="10" t="s">
        <v>7</v>
      </c>
      <c r="D24" s="10" t="s">
        <v>8</v>
      </c>
      <c r="E24" s="10"/>
      <c r="F24" s="10"/>
      <c r="G24" s="11">
        <v>125</v>
      </c>
      <c r="H24" s="11">
        <v>40</v>
      </c>
      <c r="I24" s="11"/>
      <c r="J24" s="12">
        <f t="shared" si="1"/>
        <v>165</v>
      </c>
    </row>
    <row r="25" spans="1:10" x14ac:dyDescent="0.8">
      <c r="A25" s="10" t="s">
        <v>5</v>
      </c>
      <c r="B25" s="10" t="s">
        <v>16</v>
      </c>
      <c r="C25" s="10" t="s">
        <v>7</v>
      </c>
      <c r="D25" s="10" t="s">
        <v>17</v>
      </c>
      <c r="E25" s="10" t="s">
        <v>9</v>
      </c>
      <c r="F25" s="10"/>
      <c r="G25" s="11">
        <v>105</v>
      </c>
      <c r="H25" s="11">
        <v>40</v>
      </c>
      <c r="I25" s="11"/>
      <c r="J25" s="12">
        <f t="shared" si="1"/>
        <v>145</v>
      </c>
    </row>
    <row r="26" spans="1:10" x14ac:dyDescent="0.8">
      <c r="A26" s="10" t="s">
        <v>5</v>
      </c>
      <c r="B26" s="10" t="s">
        <v>18</v>
      </c>
      <c r="C26" s="10" t="s">
        <v>7</v>
      </c>
      <c r="D26" s="10" t="s">
        <v>17</v>
      </c>
      <c r="E26" s="10" t="s">
        <v>9</v>
      </c>
      <c r="F26" s="10"/>
      <c r="G26" s="11">
        <v>105</v>
      </c>
      <c r="H26" s="11">
        <v>40</v>
      </c>
      <c r="I26" s="11"/>
      <c r="J26" s="12">
        <f t="shared" si="1"/>
        <v>145</v>
      </c>
    </row>
    <row r="27" spans="1:10" x14ac:dyDescent="0.8">
      <c r="A27" s="10" t="s">
        <v>5</v>
      </c>
      <c r="B27" s="10" t="s">
        <v>19</v>
      </c>
      <c r="C27" s="10" t="s">
        <v>20</v>
      </c>
      <c r="D27" s="10" t="s">
        <v>8</v>
      </c>
      <c r="E27" s="10" t="s">
        <v>21</v>
      </c>
      <c r="F27" s="10" t="s">
        <v>9</v>
      </c>
      <c r="G27" s="11">
        <v>125</v>
      </c>
      <c r="H27" s="11">
        <v>45</v>
      </c>
      <c r="I27" s="11">
        <v>40</v>
      </c>
      <c r="J27" s="12">
        <f t="shared" si="1"/>
        <v>210</v>
      </c>
    </row>
    <row r="28" spans="1:10" x14ac:dyDescent="0.8">
      <c r="A28" s="10" t="s">
        <v>5</v>
      </c>
      <c r="B28" s="10" t="s">
        <v>22</v>
      </c>
      <c r="C28" s="10" t="s">
        <v>20</v>
      </c>
      <c r="D28" s="10" t="s">
        <v>8</v>
      </c>
      <c r="E28" s="10"/>
      <c r="F28" s="10" t="s">
        <v>9</v>
      </c>
      <c r="G28" s="11">
        <v>125</v>
      </c>
      <c r="H28" s="11"/>
      <c r="I28" s="11">
        <v>40</v>
      </c>
      <c r="J28" s="12">
        <f t="shared" si="1"/>
        <v>165</v>
      </c>
    </row>
    <row r="29" spans="1:10" x14ac:dyDescent="0.8">
      <c r="A29" s="10" t="s">
        <v>5</v>
      </c>
      <c r="B29" s="10" t="s">
        <v>23</v>
      </c>
      <c r="C29" s="10" t="s">
        <v>24</v>
      </c>
      <c r="D29" s="10" t="s">
        <v>8</v>
      </c>
      <c r="E29" s="10" t="s">
        <v>9</v>
      </c>
      <c r="F29" s="10" t="s">
        <v>21</v>
      </c>
      <c r="G29" s="11">
        <v>125</v>
      </c>
      <c r="H29" s="11">
        <v>40</v>
      </c>
      <c r="I29" s="11">
        <v>45</v>
      </c>
      <c r="J29" s="12">
        <f t="shared" si="1"/>
        <v>210</v>
      </c>
    </row>
    <row r="30" spans="1:10" x14ac:dyDescent="0.8">
      <c r="A30" s="10" t="s">
        <v>5</v>
      </c>
      <c r="B30" s="10" t="s">
        <v>25</v>
      </c>
      <c r="C30" s="10" t="s">
        <v>20</v>
      </c>
      <c r="D30" s="10" t="s">
        <v>8</v>
      </c>
      <c r="E30" s="10" t="s">
        <v>9</v>
      </c>
      <c r="F30" s="10"/>
      <c r="G30" s="11">
        <v>125</v>
      </c>
      <c r="H30" s="11">
        <v>40</v>
      </c>
      <c r="I30" s="11"/>
      <c r="J30" s="12">
        <f t="shared" si="1"/>
        <v>165</v>
      </c>
    </row>
    <row r="31" spans="1:10" x14ac:dyDescent="0.8">
      <c r="A31" s="10" t="s">
        <v>5</v>
      </c>
      <c r="B31" s="10" t="s">
        <v>26</v>
      </c>
      <c r="C31" s="10" t="s">
        <v>20</v>
      </c>
      <c r="D31" s="10" t="s">
        <v>8</v>
      </c>
      <c r="E31" s="10" t="s">
        <v>9</v>
      </c>
      <c r="F31" s="10"/>
      <c r="G31" s="11">
        <v>125</v>
      </c>
      <c r="H31" s="11">
        <v>40</v>
      </c>
      <c r="I31" s="11"/>
      <c r="J31" s="12">
        <f t="shared" si="1"/>
        <v>165</v>
      </c>
    </row>
    <row r="32" spans="1:10" x14ac:dyDescent="0.8">
      <c r="A32" s="10" t="s">
        <v>5</v>
      </c>
      <c r="B32" s="10" t="s">
        <v>27</v>
      </c>
      <c r="C32" s="10" t="s">
        <v>20</v>
      </c>
      <c r="D32" s="10" t="s">
        <v>8</v>
      </c>
      <c r="E32" s="10" t="s">
        <v>9</v>
      </c>
      <c r="F32" s="10"/>
      <c r="G32" s="11">
        <v>125</v>
      </c>
      <c r="H32" s="11">
        <v>40</v>
      </c>
      <c r="I32" s="11"/>
      <c r="J32" s="12">
        <f t="shared" si="1"/>
        <v>165</v>
      </c>
    </row>
    <row r="33" spans="1:10" x14ac:dyDescent="0.8">
      <c r="A33" s="10" t="s">
        <v>5</v>
      </c>
      <c r="B33" s="34" t="s">
        <v>101</v>
      </c>
      <c r="C33" s="10" t="s">
        <v>20</v>
      </c>
      <c r="D33" s="35" t="s">
        <v>33</v>
      </c>
      <c r="E33" s="10"/>
      <c r="F33" s="10"/>
      <c r="G33" s="11">
        <v>85</v>
      </c>
      <c r="H33" s="11"/>
      <c r="I33" s="11"/>
      <c r="J33" s="12">
        <f>SUM(G33:I33)</f>
        <v>85</v>
      </c>
    </row>
    <row r="34" spans="1:10" x14ac:dyDescent="0.8">
      <c r="A34" s="10" t="s">
        <v>5</v>
      </c>
      <c r="B34" s="34" t="s">
        <v>102</v>
      </c>
      <c r="C34" s="10" t="s">
        <v>20</v>
      </c>
      <c r="D34" s="10" t="s">
        <v>17</v>
      </c>
      <c r="E34" s="10"/>
      <c r="F34" s="10" t="s">
        <v>9</v>
      </c>
      <c r="G34" s="11">
        <v>105</v>
      </c>
      <c r="H34" s="11"/>
      <c r="I34" s="11">
        <v>40</v>
      </c>
      <c r="J34" s="12">
        <f>SUM(G34:I34)</f>
        <v>145</v>
      </c>
    </row>
    <row r="35" spans="1:10" x14ac:dyDescent="0.8">
      <c r="A35" s="10" t="s">
        <v>59</v>
      </c>
      <c r="B35" s="10" t="s">
        <v>14</v>
      </c>
      <c r="C35" s="10" t="s">
        <v>7</v>
      </c>
      <c r="D35" s="10" t="s">
        <v>33</v>
      </c>
      <c r="E35" s="10" t="s">
        <v>9</v>
      </c>
      <c r="F35" s="10"/>
      <c r="G35" s="9">
        <v>85</v>
      </c>
      <c r="H35" s="9">
        <v>40</v>
      </c>
      <c r="I35" s="9"/>
      <c r="J35" s="14">
        <f>SUM(G35:I35)</f>
        <v>125</v>
      </c>
    </row>
    <row r="36" spans="1:10" x14ac:dyDescent="0.8">
      <c r="A36" s="10" t="s">
        <v>59</v>
      </c>
      <c r="B36" s="10" t="s">
        <v>60</v>
      </c>
      <c r="C36" s="10" t="s">
        <v>7</v>
      </c>
      <c r="D36" s="10" t="s">
        <v>8</v>
      </c>
      <c r="E36" s="10" t="s">
        <v>9</v>
      </c>
      <c r="F36" s="10"/>
      <c r="G36" s="9">
        <v>125</v>
      </c>
      <c r="H36" s="9">
        <v>40</v>
      </c>
      <c r="I36" s="9"/>
      <c r="J36" s="14">
        <f t="shared" ref="J36:J46" si="2">SUM(G36:I36)</f>
        <v>165</v>
      </c>
    </row>
    <row r="37" spans="1:10" x14ac:dyDescent="0.8">
      <c r="A37" s="10" t="s">
        <v>59</v>
      </c>
      <c r="B37" s="10" t="s">
        <v>61</v>
      </c>
      <c r="C37" s="10" t="s">
        <v>7</v>
      </c>
      <c r="D37" s="10" t="s">
        <v>33</v>
      </c>
      <c r="E37" s="10"/>
      <c r="F37" s="10" t="s">
        <v>9</v>
      </c>
      <c r="G37" s="9">
        <v>85</v>
      </c>
      <c r="H37" s="9"/>
      <c r="I37" s="9">
        <v>40</v>
      </c>
      <c r="J37" s="14">
        <f t="shared" si="2"/>
        <v>125</v>
      </c>
    </row>
    <row r="38" spans="1:10" x14ac:dyDescent="0.8">
      <c r="A38" s="10" t="s">
        <v>59</v>
      </c>
      <c r="B38" s="10" t="s">
        <v>62</v>
      </c>
      <c r="C38" s="10" t="s">
        <v>7</v>
      </c>
      <c r="D38" s="10" t="s">
        <v>8</v>
      </c>
      <c r="E38" s="10"/>
      <c r="F38" s="10"/>
      <c r="G38" s="9">
        <v>125</v>
      </c>
      <c r="H38" s="9"/>
      <c r="I38" s="9"/>
      <c r="J38" s="14">
        <f t="shared" si="2"/>
        <v>125</v>
      </c>
    </row>
    <row r="39" spans="1:10" x14ac:dyDescent="0.8">
      <c r="A39" s="10" t="s">
        <v>59</v>
      </c>
      <c r="B39" s="10" t="s">
        <v>63</v>
      </c>
      <c r="C39" s="10" t="s">
        <v>7</v>
      </c>
      <c r="D39" s="10" t="s">
        <v>33</v>
      </c>
      <c r="E39" s="10" t="s">
        <v>9</v>
      </c>
      <c r="F39" s="10"/>
      <c r="G39" s="9">
        <v>85</v>
      </c>
      <c r="H39" s="9">
        <v>40</v>
      </c>
      <c r="I39" s="9"/>
      <c r="J39" s="14">
        <f t="shared" si="2"/>
        <v>125</v>
      </c>
    </row>
    <row r="40" spans="1:10" x14ac:dyDescent="0.8">
      <c r="A40" s="10" t="s">
        <v>59</v>
      </c>
      <c r="B40" s="10" t="s">
        <v>64</v>
      </c>
      <c r="C40" s="10" t="s">
        <v>7</v>
      </c>
      <c r="D40" s="10" t="s">
        <v>15</v>
      </c>
      <c r="E40" s="10"/>
      <c r="F40" s="10"/>
      <c r="G40" s="9">
        <v>40</v>
      </c>
      <c r="H40" s="9"/>
      <c r="I40" s="9"/>
      <c r="J40" s="14">
        <f t="shared" si="2"/>
        <v>40</v>
      </c>
    </row>
    <row r="41" spans="1:10" x14ac:dyDescent="0.8">
      <c r="A41" s="10" t="s">
        <v>59</v>
      </c>
      <c r="B41" s="10" t="s">
        <v>65</v>
      </c>
      <c r="C41" s="10" t="s">
        <v>20</v>
      </c>
      <c r="D41" s="10" t="s">
        <v>8</v>
      </c>
      <c r="E41" s="10" t="s">
        <v>9</v>
      </c>
      <c r="F41" s="10"/>
      <c r="G41" s="9">
        <v>125</v>
      </c>
      <c r="H41" s="9">
        <v>40</v>
      </c>
      <c r="I41" s="9"/>
      <c r="J41" s="14">
        <f t="shared" si="2"/>
        <v>165</v>
      </c>
    </row>
    <row r="42" spans="1:10" x14ac:dyDescent="0.8">
      <c r="A42" s="10" t="s">
        <v>59</v>
      </c>
      <c r="B42" s="10" t="s">
        <v>66</v>
      </c>
      <c r="C42" s="10" t="s">
        <v>24</v>
      </c>
      <c r="D42" s="10" t="s">
        <v>8</v>
      </c>
      <c r="E42" s="10" t="s">
        <v>9</v>
      </c>
      <c r="F42" s="10"/>
      <c r="G42" s="9">
        <v>125</v>
      </c>
      <c r="H42" s="9">
        <v>40</v>
      </c>
      <c r="I42" s="9"/>
      <c r="J42" s="14">
        <f t="shared" si="2"/>
        <v>165</v>
      </c>
    </row>
    <row r="43" spans="1:10" x14ac:dyDescent="0.8">
      <c r="A43" s="10" t="s">
        <v>59</v>
      </c>
      <c r="B43" s="10" t="s">
        <v>67</v>
      </c>
      <c r="C43" s="10" t="s">
        <v>24</v>
      </c>
      <c r="D43" s="10" t="s">
        <v>33</v>
      </c>
      <c r="E43" s="10" t="s">
        <v>9</v>
      </c>
      <c r="F43" s="10"/>
      <c r="G43" s="9">
        <v>85</v>
      </c>
      <c r="H43" s="9">
        <v>40</v>
      </c>
      <c r="I43" s="9"/>
      <c r="J43" s="14">
        <f t="shared" si="2"/>
        <v>125</v>
      </c>
    </row>
    <row r="44" spans="1:10" x14ac:dyDescent="0.8">
      <c r="A44" s="10" t="s">
        <v>59</v>
      </c>
      <c r="B44" s="10" t="s">
        <v>68</v>
      </c>
      <c r="C44" s="10" t="s">
        <v>24</v>
      </c>
      <c r="D44" s="10" t="s">
        <v>8</v>
      </c>
      <c r="E44" s="10"/>
      <c r="F44" s="10"/>
      <c r="G44" s="9">
        <v>125</v>
      </c>
      <c r="H44" s="9"/>
      <c r="I44" s="9"/>
      <c r="J44" s="14">
        <f t="shared" si="2"/>
        <v>125</v>
      </c>
    </row>
    <row r="45" spans="1:10" x14ac:dyDescent="0.8">
      <c r="A45" s="10" t="s">
        <v>59</v>
      </c>
      <c r="B45" s="10" t="s">
        <v>69</v>
      </c>
      <c r="C45" s="10" t="s">
        <v>24</v>
      </c>
      <c r="D45" s="10" t="s">
        <v>8</v>
      </c>
      <c r="E45" s="10" t="s">
        <v>9</v>
      </c>
      <c r="F45" s="10"/>
      <c r="G45" s="9">
        <v>125</v>
      </c>
      <c r="H45" s="9">
        <v>40</v>
      </c>
      <c r="I45" s="9"/>
      <c r="J45" s="14">
        <f t="shared" si="2"/>
        <v>165</v>
      </c>
    </row>
    <row r="46" spans="1:10" x14ac:dyDescent="0.8">
      <c r="A46" s="10" t="s">
        <v>59</v>
      </c>
      <c r="B46" s="10" t="s">
        <v>70</v>
      </c>
      <c r="C46" s="10" t="s">
        <v>20</v>
      </c>
      <c r="D46" s="10" t="s">
        <v>8</v>
      </c>
      <c r="E46" s="10" t="s">
        <v>21</v>
      </c>
      <c r="F46" s="10" t="s">
        <v>9</v>
      </c>
      <c r="G46" s="9">
        <v>125</v>
      </c>
      <c r="H46" s="9">
        <v>45</v>
      </c>
      <c r="I46" s="9">
        <v>40</v>
      </c>
      <c r="J46" s="14">
        <f t="shared" si="2"/>
        <v>210</v>
      </c>
    </row>
    <row r="47" spans="1:10" x14ac:dyDescent="0.8">
      <c r="A47" s="10" t="s">
        <v>59</v>
      </c>
      <c r="B47" s="10" t="s">
        <v>71</v>
      </c>
      <c r="C47" s="10" t="s">
        <v>20</v>
      </c>
      <c r="D47" s="10" t="s">
        <v>17</v>
      </c>
      <c r="E47" s="10"/>
      <c r="F47" s="10" t="s">
        <v>9</v>
      </c>
      <c r="G47" s="9">
        <v>105</v>
      </c>
      <c r="H47" s="9"/>
      <c r="I47" s="9">
        <v>40</v>
      </c>
      <c r="J47" s="14">
        <f>SUM(G47:I47)</f>
        <v>145</v>
      </c>
    </row>
    <row r="48" spans="1:10" x14ac:dyDescent="0.8">
      <c r="A48" s="10" t="s">
        <v>59</v>
      </c>
      <c r="B48" s="10" t="s">
        <v>72</v>
      </c>
      <c r="C48" s="10" t="s">
        <v>20</v>
      </c>
      <c r="D48" s="10" t="s">
        <v>31</v>
      </c>
      <c r="E48" s="10"/>
      <c r="F48" s="10" t="s">
        <v>9</v>
      </c>
      <c r="G48" s="9">
        <v>125</v>
      </c>
      <c r="H48" s="9"/>
      <c r="I48" s="9">
        <v>40</v>
      </c>
      <c r="J48" s="14">
        <f>SUM(G48:I48)</f>
        <v>165</v>
      </c>
    </row>
    <row r="49" spans="1:11" x14ac:dyDescent="0.8">
      <c r="A49" s="10" t="s">
        <v>73</v>
      </c>
      <c r="B49" s="10" t="s">
        <v>74</v>
      </c>
      <c r="C49" s="10" t="s">
        <v>7</v>
      </c>
      <c r="D49" s="10" t="s">
        <v>8</v>
      </c>
      <c r="E49" s="10" t="s">
        <v>9</v>
      </c>
      <c r="F49" s="10"/>
      <c r="G49" s="9">
        <v>125</v>
      </c>
      <c r="H49" s="9">
        <v>40</v>
      </c>
      <c r="I49" s="9"/>
      <c r="J49" s="9">
        <f>SUM(G49:I49)</f>
        <v>165</v>
      </c>
      <c r="K49" s="8"/>
    </row>
    <row r="50" spans="1:11" x14ac:dyDescent="0.8">
      <c r="A50" s="10" t="s">
        <v>73</v>
      </c>
      <c r="B50" s="10" t="s">
        <v>75</v>
      </c>
      <c r="C50" s="10" t="s">
        <v>7</v>
      </c>
      <c r="D50" s="10" t="s">
        <v>31</v>
      </c>
      <c r="E50" s="10" t="s">
        <v>9</v>
      </c>
      <c r="F50" s="10"/>
      <c r="G50" s="9">
        <v>125</v>
      </c>
      <c r="H50" s="9"/>
      <c r="I50" s="9"/>
      <c r="J50" s="9">
        <f t="shared" ref="J50:J59" si="3">SUM(G50:I50)</f>
        <v>125</v>
      </c>
      <c r="K50" s="8"/>
    </row>
    <row r="51" spans="1:11" x14ac:dyDescent="0.8">
      <c r="A51" s="10" t="s">
        <v>73</v>
      </c>
      <c r="B51" s="10" t="s">
        <v>76</v>
      </c>
      <c r="C51" s="10" t="s">
        <v>7</v>
      </c>
      <c r="D51" s="10" t="s">
        <v>15</v>
      </c>
      <c r="E51" s="10"/>
      <c r="F51" s="10"/>
      <c r="G51" s="9">
        <v>40</v>
      </c>
      <c r="H51" s="9"/>
      <c r="I51" s="9"/>
      <c r="J51" s="9">
        <f t="shared" si="3"/>
        <v>40</v>
      </c>
      <c r="K51" s="8"/>
    </row>
    <row r="52" spans="1:11" x14ac:dyDescent="0.8">
      <c r="A52" s="10" t="s">
        <v>73</v>
      </c>
      <c r="B52" s="10" t="s">
        <v>77</v>
      </c>
      <c r="C52" s="10" t="s">
        <v>7</v>
      </c>
      <c r="D52" s="10" t="s">
        <v>17</v>
      </c>
      <c r="E52" s="10" t="s">
        <v>9</v>
      </c>
      <c r="F52" s="10"/>
      <c r="G52" s="9">
        <v>105</v>
      </c>
      <c r="H52" s="9"/>
      <c r="I52" s="9"/>
      <c r="J52" s="9">
        <f t="shared" si="3"/>
        <v>105</v>
      </c>
      <c r="K52" s="8"/>
    </row>
    <row r="53" spans="1:11" x14ac:dyDescent="0.8">
      <c r="A53" s="10" t="s">
        <v>73</v>
      </c>
      <c r="B53" s="10" t="s">
        <v>78</v>
      </c>
      <c r="C53" s="10" t="s">
        <v>7</v>
      </c>
      <c r="D53" s="10" t="s">
        <v>8</v>
      </c>
      <c r="E53" s="10"/>
      <c r="F53" s="10" t="s">
        <v>9</v>
      </c>
      <c r="G53" s="9">
        <v>125</v>
      </c>
      <c r="H53" s="9"/>
      <c r="I53" s="9">
        <v>40</v>
      </c>
      <c r="J53" s="9">
        <f t="shared" si="3"/>
        <v>165</v>
      </c>
      <c r="K53" s="8"/>
    </row>
    <row r="54" spans="1:11" x14ac:dyDescent="0.8">
      <c r="A54" s="10" t="s">
        <v>73</v>
      </c>
      <c r="B54" s="10" t="s">
        <v>110</v>
      </c>
      <c r="C54" s="10" t="s">
        <v>24</v>
      </c>
      <c r="D54" s="10" t="s">
        <v>15</v>
      </c>
      <c r="E54" s="10"/>
      <c r="F54" s="10"/>
      <c r="G54" s="9">
        <v>40</v>
      </c>
      <c r="H54" s="9"/>
      <c r="I54" s="9"/>
      <c r="J54" s="9">
        <f t="shared" si="3"/>
        <v>40</v>
      </c>
      <c r="K54" s="8"/>
    </row>
    <row r="55" spans="1:11" x14ac:dyDescent="0.8">
      <c r="A55" s="10" t="s">
        <v>73</v>
      </c>
      <c r="B55" s="10" t="s">
        <v>79</v>
      </c>
      <c r="C55" s="10" t="s">
        <v>24</v>
      </c>
      <c r="D55" s="10" t="s">
        <v>363</v>
      </c>
      <c r="E55" s="10"/>
      <c r="F55" s="10"/>
      <c r="G55" s="9">
        <v>125</v>
      </c>
      <c r="H55" s="9"/>
      <c r="I55" s="9"/>
      <c r="J55" s="9">
        <f t="shared" si="3"/>
        <v>125</v>
      </c>
      <c r="K55" s="8"/>
    </row>
    <row r="56" spans="1:11" x14ac:dyDescent="0.8">
      <c r="A56" s="10" t="s">
        <v>73</v>
      </c>
      <c r="B56" s="10" t="s">
        <v>80</v>
      </c>
      <c r="C56" s="10" t="s">
        <v>24</v>
      </c>
      <c r="D56" s="10" t="s">
        <v>39</v>
      </c>
      <c r="E56" s="10"/>
      <c r="F56" s="10"/>
      <c r="G56" s="9">
        <v>55</v>
      </c>
      <c r="H56" s="9"/>
      <c r="I56" s="9"/>
      <c r="J56" s="9">
        <f t="shared" si="3"/>
        <v>55</v>
      </c>
      <c r="K56" s="8"/>
    </row>
    <row r="57" spans="1:11" x14ac:dyDescent="0.8">
      <c r="A57" s="10" t="s">
        <v>73</v>
      </c>
      <c r="B57" s="10" t="s">
        <v>81</v>
      </c>
      <c r="C57" s="10" t="s">
        <v>24</v>
      </c>
      <c r="D57" s="10" t="s">
        <v>8</v>
      </c>
      <c r="E57" s="10"/>
      <c r="F57" s="10"/>
      <c r="G57" s="9">
        <v>125</v>
      </c>
      <c r="H57" s="9"/>
      <c r="I57" s="9"/>
      <c r="J57" s="9">
        <f t="shared" si="3"/>
        <v>125</v>
      </c>
      <c r="K57" s="8"/>
    </row>
    <row r="58" spans="1:11" x14ac:dyDescent="0.8">
      <c r="A58" s="10" t="s">
        <v>73</v>
      </c>
      <c r="B58" s="10" t="s">
        <v>82</v>
      </c>
      <c r="C58" s="10" t="s">
        <v>24</v>
      </c>
      <c r="D58" s="10" t="s">
        <v>15</v>
      </c>
      <c r="E58" s="10"/>
      <c r="F58" s="10"/>
      <c r="G58" s="9">
        <v>40</v>
      </c>
      <c r="H58" s="9"/>
      <c r="I58" s="9"/>
      <c r="J58" s="9">
        <f t="shared" si="3"/>
        <v>40</v>
      </c>
      <c r="K58" s="8"/>
    </row>
    <row r="59" spans="1:11" x14ac:dyDescent="0.8">
      <c r="A59" s="10" t="s">
        <v>73</v>
      </c>
      <c r="B59" s="10" t="s">
        <v>83</v>
      </c>
      <c r="C59" s="10" t="s">
        <v>24</v>
      </c>
      <c r="D59" s="10" t="s">
        <v>17</v>
      </c>
      <c r="E59" s="10" t="s">
        <v>9</v>
      </c>
      <c r="F59" s="10"/>
      <c r="G59" s="9">
        <v>105</v>
      </c>
      <c r="H59" s="9">
        <v>40</v>
      </c>
      <c r="I59" s="9"/>
      <c r="J59" s="9">
        <f t="shared" si="3"/>
        <v>145</v>
      </c>
      <c r="K59" s="8"/>
    </row>
    <row r="60" spans="1:11" x14ac:dyDescent="0.8">
      <c r="A60" s="10" t="s">
        <v>84</v>
      </c>
      <c r="B60" s="10" t="s">
        <v>85</v>
      </c>
      <c r="C60" s="10" t="s">
        <v>24</v>
      </c>
      <c r="D60" s="10" t="s">
        <v>33</v>
      </c>
      <c r="E60" s="10" t="s">
        <v>9</v>
      </c>
      <c r="F60" s="10"/>
      <c r="G60" s="9">
        <v>85</v>
      </c>
      <c r="H60" s="9">
        <v>40</v>
      </c>
      <c r="I60" s="9"/>
      <c r="J60" s="19">
        <v>125</v>
      </c>
    </row>
    <row r="61" spans="1:11" x14ac:dyDescent="0.8">
      <c r="J61" s="13">
        <f>SUM(J9:J60)</f>
        <v>6870</v>
      </c>
    </row>
  </sheetData>
  <conditionalFormatting sqref="B9:B20">
    <cfRule type="duplicateValues" dxfId="153" priority="4"/>
  </conditionalFormatting>
  <conditionalFormatting sqref="B1:B1048576">
    <cfRule type="duplicateValues" dxfId="152" priority="1"/>
    <cfRule type="duplicateValues" dxfId="151" priority="2"/>
  </conditionalFormatting>
  <conditionalFormatting sqref="B21:B34">
    <cfRule type="duplicateValues" dxfId="150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F5B0-E617-40C6-BCB9-BCEB39DA2649}">
  <sheetPr>
    <tabColor rgb="FF00B050"/>
  </sheetPr>
  <dimension ref="A1:J100"/>
  <sheetViews>
    <sheetView zoomScale="80" zoomScaleNormal="80" workbookViewId="0">
      <selection activeCell="A8" sqref="A8:J90"/>
    </sheetView>
  </sheetViews>
  <sheetFormatPr defaultColWidth="8.625" defaultRowHeight="14.75" x14ac:dyDescent="0.75"/>
  <cols>
    <col min="1" max="1" width="26.625" style="39" customWidth="1"/>
    <col min="2" max="2" width="15.2890625" style="39" customWidth="1"/>
    <col min="3" max="3" width="15.4140625" style="39" customWidth="1"/>
    <col min="4" max="4" width="20.08203125" style="39" customWidth="1"/>
    <col min="5" max="5" width="37.7890625" style="39" customWidth="1"/>
    <col min="6" max="6" width="22.33203125" style="39" customWidth="1"/>
    <col min="7" max="7" width="13.5390625" style="39" customWidth="1"/>
    <col min="8" max="8" width="12.83203125" style="39" customWidth="1"/>
    <col min="9" max="9" width="11.70703125" style="39" customWidth="1"/>
    <col min="10" max="10" width="11.20703125" style="39" customWidth="1"/>
    <col min="11" max="16384" width="8.625" style="39"/>
  </cols>
  <sheetData>
    <row r="1" spans="1:10" ht="16" x14ac:dyDescent="0.8">
      <c r="A1" s="47" t="s">
        <v>86</v>
      </c>
      <c r="B1" s="42"/>
      <c r="C1" s="42"/>
      <c r="D1" s="42"/>
      <c r="G1" s="97"/>
    </row>
    <row r="2" spans="1:10" ht="16" x14ac:dyDescent="0.8">
      <c r="A2" s="47" t="s">
        <v>87</v>
      </c>
      <c r="B2" s="42"/>
      <c r="C2" s="48" t="s">
        <v>88</v>
      </c>
      <c r="D2" s="49">
        <v>44764</v>
      </c>
      <c r="G2" s="97"/>
    </row>
    <row r="3" spans="1:10" ht="16" x14ac:dyDescent="0.8">
      <c r="A3" s="47" t="s">
        <v>89</v>
      </c>
      <c r="B3" s="42"/>
      <c r="C3" s="48" t="s">
        <v>90</v>
      </c>
      <c r="D3" s="49">
        <v>44758</v>
      </c>
      <c r="G3" s="97"/>
    </row>
    <row r="4" spans="1:10" ht="16" x14ac:dyDescent="0.8">
      <c r="A4" s="47" t="s">
        <v>91</v>
      </c>
      <c r="B4" s="42"/>
      <c r="C4" s="48" t="s">
        <v>92</v>
      </c>
      <c r="D4" s="42">
        <v>42</v>
      </c>
      <c r="G4" s="97"/>
    </row>
    <row r="5" spans="1:10" ht="16" x14ac:dyDescent="0.8">
      <c r="A5" s="47" t="s">
        <v>93</v>
      </c>
      <c r="B5" s="42"/>
      <c r="C5" s="48" t="s">
        <v>94</v>
      </c>
      <c r="D5" s="42" t="s">
        <v>95</v>
      </c>
      <c r="G5" s="97"/>
    </row>
    <row r="6" spans="1:10" ht="16" x14ac:dyDescent="0.8">
      <c r="A6" s="42"/>
      <c r="B6" s="42"/>
      <c r="C6" s="48" t="s">
        <v>96</v>
      </c>
      <c r="D6" s="42"/>
      <c r="G6" s="97"/>
    </row>
    <row r="7" spans="1:10" ht="16" x14ac:dyDescent="0.8">
      <c r="A7" s="42"/>
      <c r="B7" s="42"/>
      <c r="C7" s="48" t="s">
        <v>97</v>
      </c>
      <c r="D7" s="50"/>
      <c r="G7" s="97"/>
    </row>
    <row r="8" spans="1:10" s="76" customFormat="1" ht="32" x14ac:dyDescent="0.8">
      <c r="A8" s="71" t="s">
        <v>0</v>
      </c>
      <c r="B8" s="71" t="s">
        <v>1</v>
      </c>
      <c r="C8" s="71" t="s">
        <v>2</v>
      </c>
      <c r="D8" s="71" t="s">
        <v>3</v>
      </c>
      <c r="E8" s="72" t="s">
        <v>4</v>
      </c>
      <c r="F8" s="73" t="s">
        <v>4</v>
      </c>
      <c r="G8" s="74" t="s">
        <v>100</v>
      </c>
      <c r="H8" s="74" t="s">
        <v>98</v>
      </c>
      <c r="I8" s="74" t="s">
        <v>99</v>
      </c>
      <c r="J8" s="75" t="s">
        <v>97</v>
      </c>
    </row>
    <row r="9" spans="1:10" ht="15" customHeight="1" x14ac:dyDescent="0.8">
      <c r="A9" s="42" t="s">
        <v>360</v>
      </c>
      <c r="B9" s="42" t="s">
        <v>186</v>
      </c>
      <c r="C9" s="42" t="s">
        <v>361</v>
      </c>
      <c r="D9" s="42" t="s">
        <v>8</v>
      </c>
      <c r="E9" s="42" t="s">
        <v>9</v>
      </c>
      <c r="F9" s="42"/>
      <c r="G9" s="51">
        <v>125</v>
      </c>
      <c r="H9" s="51">
        <v>40</v>
      </c>
      <c r="I9" s="51"/>
      <c r="J9" s="40">
        <f>SUM(G9:I9)</f>
        <v>165</v>
      </c>
    </row>
    <row r="10" spans="1:10" ht="16" x14ac:dyDescent="0.8">
      <c r="A10" s="42" t="s">
        <v>360</v>
      </c>
      <c r="B10" s="42" t="s">
        <v>150</v>
      </c>
      <c r="C10" s="42" t="s">
        <v>361</v>
      </c>
      <c r="D10" s="42" t="s">
        <v>15</v>
      </c>
      <c r="E10" s="42"/>
      <c r="F10" s="42"/>
      <c r="G10" s="51">
        <v>40</v>
      </c>
      <c r="H10" s="51"/>
      <c r="I10" s="51"/>
      <c r="J10" s="40">
        <f t="shared" ref="J10:J21" si="0">SUM(G10:I10)</f>
        <v>40</v>
      </c>
    </row>
    <row r="11" spans="1:10" ht="16" x14ac:dyDescent="0.8">
      <c r="A11" s="42" t="s">
        <v>360</v>
      </c>
      <c r="B11" s="42" t="s">
        <v>177</v>
      </c>
      <c r="C11" s="42" t="s">
        <v>361</v>
      </c>
      <c r="D11" s="42" t="s">
        <v>15</v>
      </c>
      <c r="E11" s="42"/>
      <c r="F11" s="42"/>
      <c r="G11" s="51">
        <v>40</v>
      </c>
      <c r="H11" s="51"/>
      <c r="I11" s="51"/>
      <c r="J11" s="40">
        <f t="shared" si="0"/>
        <v>40</v>
      </c>
    </row>
    <row r="12" spans="1:10" ht="16" x14ac:dyDescent="0.8">
      <c r="A12" s="42" t="s">
        <v>360</v>
      </c>
      <c r="B12" s="42" t="s">
        <v>179</v>
      </c>
      <c r="C12" s="42" t="s">
        <v>361</v>
      </c>
      <c r="D12" s="42" t="s">
        <v>8</v>
      </c>
      <c r="E12" s="42" t="s">
        <v>9</v>
      </c>
      <c r="F12" s="42"/>
      <c r="G12" s="51">
        <v>125</v>
      </c>
      <c r="H12" s="51">
        <v>40</v>
      </c>
      <c r="I12" s="51"/>
      <c r="J12" s="40">
        <f t="shared" si="0"/>
        <v>165</v>
      </c>
    </row>
    <row r="13" spans="1:10" ht="16" x14ac:dyDescent="0.8">
      <c r="A13" s="42" t="s">
        <v>360</v>
      </c>
      <c r="B13" s="42" t="s">
        <v>178</v>
      </c>
      <c r="C13" s="42" t="s">
        <v>361</v>
      </c>
      <c r="D13" s="42" t="s">
        <v>8</v>
      </c>
      <c r="E13" s="42" t="s">
        <v>9</v>
      </c>
      <c r="F13" s="42"/>
      <c r="G13" s="51">
        <v>125</v>
      </c>
      <c r="H13" s="51">
        <v>40</v>
      </c>
      <c r="I13" s="51"/>
      <c r="J13" s="40">
        <f t="shared" si="0"/>
        <v>165</v>
      </c>
    </row>
    <row r="14" spans="1:10" ht="16" x14ac:dyDescent="0.8">
      <c r="A14" s="42" t="s">
        <v>360</v>
      </c>
      <c r="B14" s="42" t="s">
        <v>172</v>
      </c>
      <c r="C14" s="42" t="s">
        <v>7</v>
      </c>
      <c r="D14" s="42" t="s">
        <v>17</v>
      </c>
      <c r="E14" s="42" t="s">
        <v>9</v>
      </c>
      <c r="F14" s="42"/>
      <c r="G14" s="51">
        <v>105</v>
      </c>
      <c r="H14" s="51">
        <v>40</v>
      </c>
      <c r="I14" s="51"/>
      <c r="J14" s="40">
        <f t="shared" si="0"/>
        <v>145</v>
      </c>
    </row>
    <row r="15" spans="1:10" ht="16" x14ac:dyDescent="0.8">
      <c r="A15" s="42" t="s">
        <v>360</v>
      </c>
      <c r="B15" s="42" t="s">
        <v>173</v>
      </c>
      <c r="C15" s="42" t="s">
        <v>7</v>
      </c>
      <c r="D15" s="42" t="s">
        <v>33</v>
      </c>
      <c r="E15" s="42"/>
      <c r="F15" s="42"/>
      <c r="G15" s="51">
        <v>85</v>
      </c>
      <c r="H15" s="51"/>
      <c r="I15" s="51"/>
      <c r="J15" s="40">
        <f t="shared" si="0"/>
        <v>85</v>
      </c>
    </row>
    <row r="16" spans="1:10" ht="16" x14ac:dyDescent="0.8">
      <c r="A16" s="42" t="s">
        <v>360</v>
      </c>
      <c r="B16" s="42" t="s">
        <v>175</v>
      </c>
      <c r="C16" s="42" t="s">
        <v>7</v>
      </c>
      <c r="D16" s="42" t="s">
        <v>8</v>
      </c>
      <c r="E16" s="42" t="s">
        <v>9</v>
      </c>
      <c r="F16" s="42"/>
      <c r="G16" s="51">
        <v>125</v>
      </c>
      <c r="H16" s="51">
        <v>40</v>
      </c>
      <c r="I16" s="51"/>
      <c r="J16" s="40">
        <f t="shared" si="0"/>
        <v>165</v>
      </c>
    </row>
    <row r="17" spans="1:10" ht="16" x14ac:dyDescent="0.8">
      <c r="A17" s="42" t="s">
        <v>360</v>
      </c>
      <c r="B17" s="42" t="s">
        <v>170</v>
      </c>
      <c r="C17" s="42" t="s">
        <v>7</v>
      </c>
      <c r="D17" s="42" t="s">
        <v>8</v>
      </c>
      <c r="E17" s="42" t="s">
        <v>9</v>
      </c>
      <c r="F17" s="42"/>
      <c r="G17" s="51">
        <v>125</v>
      </c>
      <c r="H17" s="51">
        <v>40</v>
      </c>
      <c r="I17" s="51"/>
      <c r="J17" s="40">
        <f t="shared" si="0"/>
        <v>165</v>
      </c>
    </row>
    <row r="18" spans="1:10" ht="16" x14ac:dyDescent="0.8">
      <c r="A18" s="42" t="s">
        <v>360</v>
      </c>
      <c r="B18" s="42" t="s">
        <v>145</v>
      </c>
      <c r="C18" s="42" t="s">
        <v>7</v>
      </c>
      <c r="D18" s="42" t="s">
        <v>33</v>
      </c>
      <c r="E18" s="42"/>
      <c r="F18" s="42"/>
      <c r="G18" s="51">
        <v>85</v>
      </c>
      <c r="H18" s="51"/>
      <c r="I18" s="51"/>
      <c r="J18" s="40">
        <f t="shared" si="0"/>
        <v>85</v>
      </c>
    </row>
    <row r="19" spans="1:10" ht="16" x14ac:dyDescent="0.8">
      <c r="A19" s="42" t="s">
        <v>360</v>
      </c>
      <c r="B19" s="52" t="s">
        <v>183</v>
      </c>
      <c r="C19" s="42" t="s">
        <v>7</v>
      </c>
      <c r="D19" s="42" t="s">
        <v>8</v>
      </c>
      <c r="E19" s="42" t="s">
        <v>9</v>
      </c>
      <c r="F19" s="42"/>
      <c r="G19" s="51">
        <v>125</v>
      </c>
      <c r="H19" s="51">
        <v>40</v>
      </c>
      <c r="I19" s="51"/>
      <c r="J19" s="40">
        <f t="shared" si="0"/>
        <v>165</v>
      </c>
    </row>
    <row r="20" spans="1:10" ht="16" x14ac:dyDescent="0.8">
      <c r="A20" s="42" t="s">
        <v>360</v>
      </c>
      <c r="B20" s="52" t="s">
        <v>176</v>
      </c>
      <c r="C20" s="42" t="s">
        <v>7</v>
      </c>
      <c r="D20" s="42" t="s">
        <v>33</v>
      </c>
      <c r="E20" s="42" t="s">
        <v>9</v>
      </c>
      <c r="F20" s="42"/>
      <c r="G20" s="51">
        <v>85</v>
      </c>
      <c r="H20" s="51">
        <v>40</v>
      </c>
      <c r="I20" s="51"/>
      <c r="J20" s="40">
        <f t="shared" si="0"/>
        <v>125</v>
      </c>
    </row>
    <row r="21" spans="1:10" ht="16" x14ac:dyDescent="0.8">
      <c r="A21" s="42" t="s">
        <v>360</v>
      </c>
      <c r="B21" s="52" t="s">
        <v>180</v>
      </c>
      <c r="C21" s="42" t="s">
        <v>7</v>
      </c>
      <c r="D21" s="42" t="s">
        <v>8</v>
      </c>
      <c r="E21" s="42" t="s">
        <v>9</v>
      </c>
      <c r="F21" s="42"/>
      <c r="G21" s="51">
        <v>125</v>
      </c>
      <c r="H21" s="51">
        <v>40</v>
      </c>
      <c r="I21" s="51"/>
      <c r="J21" s="40">
        <f t="shared" si="0"/>
        <v>165</v>
      </c>
    </row>
    <row r="22" spans="1:10" ht="16" x14ac:dyDescent="0.8">
      <c r="A22" s="42" t="s">
        <v>362</v>
      </c>
      <c r="B22" s="42" t="s">
        <v>166</v>
      </c>
      <c r="C22" s="42" t="s">
        <v>7</v>
      </c>
      <c r="D22" s="42" t="s">
        <v>363</v>
      </c>
      <c r="E22" s="42"/>
      <c r="F22" s="42" t="s">
        <v>9</v>
      </c>
      <c r="G22" s="53">
        <v>125</v>
      </c>
      <c r="H22" s="53"/>
      <c r="I22" s="53">
        <v>40</v>
      </c>
      <c r="J22" s="53">
        <f>SUM(G22:I22)</f>
        <v>165</v>
      </c>
    </row>
    <row r="23" spans="1:10" ht="16" x14ac:dyDescent="0.8">
      <c r="A23" s="42" t="s">
        <v>362</v>
      </c>
      <c r="B23" s="42" t="s">
        <v>143</v>
      </c>
      <c r="C23" s="42" t="s">
        <v>7</v>
      </c>
      <c r="D23" s="42" t="s">
        <v>364</v>
      </c>
      <c r="E23" s="42"/>
      <c r="F23" s="42"/>
      <c r="G23" s="53">
        <v>85</v>
      </c>
      <c r="H23" s="53"/>
      <c r="I23" s="53"/>
      <c r="J23" s="53">
        <f t="shared" ref="J23:J34" si="1">SUM(G23:I23)</f>
        <v>85</v>
      </c>
    </row>
    <row r="24" spans="1:10" ht="16" x14ac:dyDescent="0.8">
      <c r="A24" s="42" t="s">
        <v>362</v>
      </c>
      <c r="B24" s="42" t="s">
        <v>147</v>
      </c>
      <c r="C24" s="42" t="s">
        <v>7</v>
      </c>
      <c r="D24" s="42" t="s">
        <v>364</v>
      </c>
      <c r="E24" s="42"/>
      <c r="F24" s="42" t="s">
        <v>9</v>
      </c>
      <c r="G24" s="53">
        <v>85</v>
      </c>
      <c r="H24" s="53"/>
      <c r="I24" s="53">
        <v>40</v>
      </c>
      <c r="J24" s="53">
        <f t="shared" si="1"/>
        <v>125</v>
      </c>
    </row>
    <row r="25" spans="1:10" ht="16" x14ac:dyDescent="0.8">
      <c r="A25" s="42" t="s">
        <v>362</v>
      </c>
      <c r="B25" s="42" t="s">
        <v>161</v>
      </c>
      <c r="C25" s="42" t="s">
        <v>7</v>
      </c>
      <c r="D25" s="42" t="s">
        <v>364</v>
      </c>
      <c r="E25" s="42"/>
      <c r="F25" s="42"/>
      <c r="G25" s="53">
        <v>85</v>
      </c>
      <c r="H25" s="53"/>
      <c r="I25" s="53"/>
      <c r="J25" s="53">
        <f t="shared" si="1"/>
        <v>85</v>
      </c>
    </row>
    <row r="26" spans="1:10" ht="16" x14ac:dyDescent="0.8">
      <c r="A26" s="42" t="s">
        <v>362</v>
      </c>
      <c r="B26" s="42" t="s">
        <v>181</v>
      </c>
      <c r="C26" s="42" t="s">
        <v>7</v>
      </c>
      <c r="D26" s="42" t="s">
        <v>364</v>
      </c>
      <c r="E26" s="42"/>
      <c r="F26" s="42"/>
      <c r="G26" s="53">
        <v>85</v>
      </c>
      <c r="H26" s="53"/>
      <c r="I26" s="53"/>
      <c r="J26" s="53">
        <f t="shared" si="1"/>
        <v>85</v>
      </c>
    </row>
    <row r="27" spans="1:10" ht="16" x14ac:dyDescent="0.8">
      <c r="A27" s="42" t="s">
        <v>362</v>
      </c>
      <c r="B27" s="42" t="s">
        <v>174</v>
      </c>
      <c r="C27" s="42" t="s">
        <v>365</v>
      </c>
      <c r="D27" s="42" t="s">
        <v>363</v>
      </c>
      <c r="E27" s="42"/>
      <c r="F27" s="42" t="s">
        <v>9</v>
      </c>
      <c r="G27" s="53">
        <v>125</v>
      </c>
      <c r="H27" s="53"/>
      <c r="I27" s="53">
        <v>40</v>
      </c>
      <c r="J27" s="53">
        <f t="shared" si="1"/>
        <v>165</v>
      </c>
    </row>
    <row r="28" spans="1:10" ht="16" x14ac:dyDescent="0.8">
      <c r="A28" s="42" t="s">
        <v>362</v>
      </c>
      <c r="B28" s="42" t="s">
        <v>124</v>
      </c>
      <c r="C28" s="42" t="s">
        <v>7</v>
      </c>
      <c r="D28" s="42" t="s">
        <v>364</v>
      </c>
      <c r="E28" s="42"/>
      <c r="F28" s="42"/>
      <c r="G28" s="53">
        <v>85</v>
      </c>
      <c r="H28" s="53"/>
      <c r="I28" s="53"/>
      <c r="J28" s="53">
        <f t="shared" si="1"/>
        <v>85</v>
      </c>
    </row>
    <row r="29" spans="1:10" ht="16" x14ac:dyDescent="0.8">
      <c r="A29" s="42" t="s">
        <v>362</v>
      </c>
      <c r="B29" s="42" t="s">
        <v>127</v>
      </c>
      <c r="C29" s="42" t="s">
        <v>7</v>
      </c>
      <c r="D29" s="42" t="s">
        <v>364</v>
      </c>
      <c r="E29" s="42"/>
      <c r="F29" s="42"/>
      <c r="G29" s="53">
        <v>85</v>
      </c>
      <c r="H29" s="53"/>
      <c r="I29" s="53"/>
      <c r="J29" s="53">
        <f t="shared" si="1"/>
        <v>85</v>
      </c>
    </row>
    <row r="30" spans="1:10" ht="16" x14ac:dyDescent="0.8">
      <c r="A30" s="42" t="s">
        <v>362</v>
      </c>
      <c r="B30" s="42" t="s">
        <v>165</v>
      </c>
      <c r="C30" s="42" t="s">
        <v>365</v>
      </c>
      <c r="D30" s="42" t="s">
        <v>366</v>
      </c>
      <c r="E30" s="42"/>
      <c r="F30" s="42"/>
      <c r="G30" s="53">
        <v>225</v>
      </c>
      <c r="H30" s="53"/>
      <c r="I30" s="53"/>
      <c r="J30" s="53">
        <f t="shared" si="1"/>
        <v>225</v>
      </c>
    </row>
    <row r="31" spans="1:10" ht="16" x14ac:dyDescent="0.8">
      <c r="A31" s="42" t="s">
        <v>362</v>
      </c>
      <c r="B31" s="42" t="s">
        <v>126</v>
      </c>
      <c r="C31" s="42" t="s">
        <v>7</v>
      </c>
      <c r="D31" s="42" t="s">
        <v>364</v>
      </c>
      <c r="E31" s="42"/>
      <c r="F31" s="42"/>
      <c r="G31" s="53">
        <v>85</v>
      </c>
      <c r="H31" s="53"/>
      <c r="I31" s="53"/>
      <c r="J31" s="53">
        <f t="shared" si="1"/>
        <v>85</v>
      </c>
    </row>
    <row r="32" spans="1:10" ht="16" x14ac:dyDescent="0.8">
      <c r="A32" s="42" t="s">
        <v>362</v>
      </c>
      <c r="B32" s="42" t="s">
        <v>164</v>
      </c>
      <c r="C32" s="42" t="s">
        <v>365</v>
      </c>
      <c r="D32" s="42" t="s">
        <v>364</v>
      </c>
      <c r="E32" s="42"/>
      <c r="F32" s="42" t="s">
        <v>9</v>
      </c>
      <c r="G32" s="53">
        <v>85</v>
      </c>
      <c r="H32" s="53"/>
      <c r="I32" s="53">
        <v>40</v>
      </c>
      <c r="J32" s="53">
        <f t="shared" si="1"/>
        <v>125</v>
      </c>
    </row>
    <row r="33" spans="1:10" ht="16" x14ac:dyDescent="0.8">
      <c r="A33" s="42" t="s">
        <v>362</v>
      </c>
      <c r="B33" s="42" t="s">
        <v>189</v>
      </c>
      <c r="C33" s="42" t="s">
        <v>365</v>
      </c>
      <c r="D33" s="42" t="s">
        <v>367</v>
      </c>
      <c r="E33" s="42"/>
      <c r="F33" s="42" t="s">
        <v>9</v>
      </c>
      <c r="G33" s="53">
        <v>125</v>
      </c>
      <c r="H33" s="53"/>
      <c r="I33" s="53">
        <v>40</v>
      </c>
      <c r="J33" s="53">
        <f t="shared" si="1"/>
        <v>165</v>
      </c>
    </row>
    <row r="34" spans="1:10" ht="16" x14ac:dyDescent="0.8">
      <c r="A34" s="42" t="s">
        <v>362</v>
      </c>
      <c r="B34" s="42" t="s">
        <v>149</v>
      </c>
      <c r="C34" s="42" t="s">
        <v>365</v>
      </c>
      <c r="D34" s="42" t="s">
        <v>363</v>
      </c>
      <c r="E34" s="42"/>
      <c r="F34" s="42" t="s">
        <v>9</v>
      </c>
      <c r="G34" s="53">
        <v>125</v>
      </c>
      <c r="H34" s="53"/>
      <c r="I34" s="53">
        <v>40</v>
      </c>
      <c r="J34" s="53">
        <f t="shared" si="1"/>
        <v>165</v>
      </c>
    </row>
    <row r="35" spans="1:10" ht="16" x14ac:dyDescent="0.8">
      <c r="A35" s="42" t="s">
        <v>368</v>
      </c>
      <c r="B35" s="52" t="s">
        <v>159</v>
      </c>
      <c r="C35" s="42" t="s">
        <v>365</v>
      </c>
      <c r="D35" s="42" t="s">
        <v>363</v>
      </c>
      <c r="E35" s="42"/>
      <c r="F35" s="42" t="s">
        <v>9</v>
      </c>
      <c r="G35" s="51">
        <v>125</v>
      </c>
      <c r="H35" s="51">
        <v>40</v>
      </c>
      <c r="I35" s="51"/>
      <c r="J35" s="51">
        <f>SUM(G35:I35)</f>
        <v>165</v>
      </c>
    </row>
    <row r="36" spans="1:10" ht="16" x14ac:dyDescent="0.8">
      <c r="A36" s="42" t="s">
        <v>368</v>
      </c>
      <c r="B36" s="52" t="s">
        <v>158</v>
      </c>
      <c r="C36" s="42" t="s">
        <v>365</v>
      </c>
      <c r="D36" s="42" t="s">
        <v>363</v>
      </c>
      <c r="E36" s="42"/>
      <c r="F36" s="42" t="s">
        <v>9</v>
      </c>
      <c r="G36" s="51">
        <v>125</v>
      </c>
      <c r="H36" s="51">
        <v>40</v>
      </c>
      <c r="I36" s="51"/>
      <c r="J36" s="51">
        <f t="shared" ref="J36:J49" si="2">SUM(G36:I36)</f>
        <v>165</v>
      </c>
    </row>
    <row r="37" spans="1:10" ht="16" x14ac:dyDescent="0.8">
      <c r="A37" s="42" t="s">
        <v>368</v>
      </c>
      <c r="B37" s="52" t="s">
        <v>125</v>
      </c>
      <c r="C37" s="42" t="s">
        <v>365</v>
      </c>
      <c r="D37" s="42" t="s">
        <v>369</v>
      </c>
      <c r="E37" s="42"/>
      <c r="F37" s="42"/>
      <c r="G37" s="51">
        <v>40</v>
      </c>
      <c r="H37" s="51"/>
      <c r="I37" s="51"/>
      <c r="J37" s="51">
        <f t="shared" si="2"/>
        <v>40</v>
      </c>
    </row>
    <row r="38" spans="1:10" ht="16" x14ac:dyDescent="0.8">
      <c r="A38" s="42" t="s">
        <v>368</v>
      </c>
      <c r="B38" s="52" t="s">
        <v>135</v>
      </c>
      <c r="C38" s="42" t="s">
        <v>365</v>
      </c>
      <c r="D38" s="42" t="s">
        <v>370</v>
      </c>
      <c r="E38" s="42"/>
      <c r="F38" s="42" t="s">
        <v>9</v>
      </c>
      <c r="G38" s="51">
        <v>105</v>
      </c>
      <c r="H38" s="51">
        <v>40</v>
      </c>
      <c r="I38" s="51"/>
      <c r="J38" s="51">
        <f t="shared" si="2"/>
        <v>145</v>
      </c>
    </row>
    <row r="39" spans="1:10" ht="16" x14ac:dyDescent="0.8">
      <c r="A39" s="42" t="s">
        <v>368</v>
      </c>
      <c r="B39" s="52" t="s">
        <v>146</v>
      </c>
      <c r="C39" s="42" t="s">
        <v>365</v>
      </c>
      <c r="D39" s="42" t="s">
        <v>363</v>
      </c>
      <c r="E39" s="42"/>
      <c r="F39" s="42" t="s">
        <v>9</v>
      </c>
      <c r="G39" s="51">
        <v>125</v>
      </c>
      <c r="H39" s="51">
        <v>40</v>
      </c>
      <c r="I39" s="51"/>
      <c r="J39" s="51">
        <f t="shared" si="2"/>
        <v>165</v>
      </c>
    </row>
    <row r="40" spans="1:10" ht="16" x14ac:dyDescent="0.8">
      <c r="A40" s="42" t="s">
        <v>368</v>
      </c>
      <c r="B40" s="52" t="s">
        <v>154</v>
      </c>
      <c r="C40" s="42" t="s">
        <v>365</v>
      </c>
      <c r="D40" s="42" t="s">
        <v>364</v>
      </c>
      <c r="E40" s="42"/>
      <c r="F40" s="42" t="s">
        <v>9</v>
      </c>
      <c r="G40" s="51">
        <v>85</v>
      </c>
      <c r="H40" s="51">
        <v>40</v>
      </c>
      <c r="I40" s="51"/>
      <c r="J40" s="51">
        <f t="shared" si="2"/>
        <v>125</v>
      </c>
    </row>
    <row r="41" spans="1:10" ht="16" x14ac:dyDescent="0.8">
      <c r="A41" s="42" t="s">
        <v>368</v>
      </c>
      <c r="B41" s="52" t="s">
        <v>163</v>
      </c>
      <c r="C41" s="42" t="s">
        <v>7</v>
      </c>
      <c r="D41" s="42" t="s">
        <v>363</v>
      </c>
      <c r="E41" s="42"/>
      <c r="F41" s="42" t="s">
        <v>9</v>
      </c>
      <c r="G41" s="51">
        <v>125</v>
      </c>
      <c r="H41" s="51">
        <v>40</v>
      </c>
      <c r="I41" s="51"/>
      <c r="J41" s="51">
        <f t="shared" si="2"/>
        <v>165</v>
      </c>
    </row>
    <row r="42" spans="1:10" ht="16" x14ac:dyDescent="0.8">
      <c r="A42" s="42" t="s">
        <v>368</v>
      </c>
      <c r="B42" s="52" t="s">
        <v>129</v>
      </c>
      <c r="C42" s="42" t="s">
        <v>365</v>
      </c>
      <c r="D42" s="42" t="s">
        <v>363</v>
      </c>
      <c r="E42" s="42"/>
      <c r="F42" s="42" t="s">
        <v>9</v>
      </c>
      <c r="G42" s="51">
        <v>125</v>
      </c>
      <c r="H42" s="51">
        <v>40</v>
      </c>
      <c r="I42" s="51"/>
      <c r="J42" s="51">
        <f t="shared" si="2"/>
        <v>165</v>
      </c>
    </row>
    <row r="43" spans="1:10" ht="16" x14ac:dyDescent="0.8">
      <c r="A43" s="42" t="s">
        <v>368</v>
      </c>
      <c r="B43" s="52" t="s">
        <v>162</v>
      </c>
      <c r="C43" s="42" t="s">
        <v>7</v>
      </c>
      <c r="D43" s="42" t="s">
        <v>363</v>
      </c>
      <c r="E43" s="42"/>
      <c r="F43" s="42" t="s">
        <v>9</v>
      </c>
      <c r="G43" s="51">
        <v>125</v>
      </c>
      <c r="H43" s="51">
        <v>40</v>
      </c>
      <c r="I43" s="51"/>
      <c r="J43" s="51">
        <f t="shared" si="2"/>
        <v>165</v>
      </c>
    </row>
    <row r="44" spans="1:10" ht="16" x14ac:dyDescent="0.8">
      <c r="A44" s="42" t="s">
        <v>368</v>
      </c>
      <c r="B44" s="42" t="s">
        <v>138</v>
      </c>
      <c r="C44" s="42" t="s">
        <v>7</v>
      </c>
      <c r="D44" s="42" t="s">
        <v>363</v>
      </c>
      <c r="E44" s="42"/>
      <c r="F44" s="42" t="s">
        <v>9</v>
      </c>
      <c r="G44" s="51">
        <v>125</v>
      </c>
      <c r="H44" s="51">
        <v>40</v>
      </c>
      <c r="I44" s="51"/>
      <c r="J44" s="51">
        <f t="shared" si="2"/>
        <v>165</v>
      </c>
    </row>
    <row r="45" spans="1:10" ht="16" x14ac:dyDescent="0.8">
      <c r="A45" s="42" t="s">
        <v>368</v>
      </c>
      <c r="B45" s="42" t="s">
        <v>171</v>
      </c>
      <c r="C45" s="42" t="s">
        <v>7</v>
      </c>
      <c r="D45" s="42" t="s">
        <v>370</v>
      </c>
      <c r="E45" s="42"/>
      <c r="F45" s="42"/>
      <c r="G45" s="51">
        <v>105</v>
      </c>
      <c r="H45" s="51"/>
      <c r="I45" s="51"/>
      <c r="J45" s="51">
        <f t="shared" si="2"/>
        <v>105</v>
      </c>
    </row>
    <row r="46" spans="1:10" ht="16" x14ac:dyDescent="0.8">
      <c r="A46" s="42" t="s">
        <v>368</v>
      </c>
      <c r="B46" s="42" t="s">
        <v>157</v>
      </c>
      <c r="C46" s="42" t="s">
        <v>7</v>
      </c>
      <c r="D46" s="42" t="s">
        <v>363</v>
      </c>
      <c r="E46" s="42"/>
      <c r="F46" s="42" t="s">
        <v>9</v>
      </c>
      <c r="G46" s="51">
        <v>125</v>
      </c>
      <c r="H46" s="51">
        <v>40</v>
      </c>
      <c r="I46" s="51"/>
      <c r="J46" s="51">
        <f t="shared" si="2"/>
        <v>165</v>
      </c>
    </row>
    <row r="47" spans="1:10" s="108" customFormat="1" ht="16" x14ac:dyDescent="0.8">
      <c r="A47" s="52" t="s">
        <v>368</v>
      </c>
      <c r="B47" s="52" t="s">
        <v>144</v>
      </c>
      <c r="C47" s="52" t="s">
        <v>7</v>
      </c>
      <c r="D47" s="52" t="s">
        <v>369</v>
      </c>
      <c r="E47" s="52" t="s">
        <v>21</v>
      </c>
      <c r="F47" s="52"/>
      <c r="G47" s="54">
        <v>40</v>
      </c>
      <c r="H47" s="54"/>
      <c r="I47" s="54"/>
      <c r="J47" s="54">
        <f t="shared" si="2"/>
        <v>40</v>
      </c>
    </row>
    <row r="48" spans="1:10" ht="16" x14ac:dyDescent="0.8">
      <c r="A48" s="42" t="s">
        <v>368</v>
      </c>
      <c r="B48" s="42" t="s">
        <v>160</v>
      </c>
      <c r="C48" s="42" t="s">
        <v>24</v>
      </c>
      <c r="D48" s="42" t="s">
        <v>363</v>
      </c>
      <c r="E48" s="42"/>
      <c r="F48" s="42" t="s">
        <v>9</v>
      </c>
      <c r="G48" s="51">
        <v>125</v>
      </c>
      <c r="H48" s="51">
        <v>40</v>
      </c>
      <c r="I48" s="51"/>
      <c r="J48" s="54">
        <f t="shared" si="2"/>
        <v>165</v>
      </c>
    </row>
    <row r="49" spans="1:10" ht="16" x14ac:dyDescent="0.8">
      <c r="A49" s="42" t="s">
        <v>368</v>
      </c>
      <c r="B49" s="42" t="s">
        <v>133</v>
      </c>
      <c r="C49" s="42" t="s">
        <v>24</v>
      </c>
      <c r="D49" s="42" t="s">
        <v>363</v>
      </c>
      <c r="E49" s="42"/>
      <c r="F49" s="42" t="s">
        <v>9</v>
      </c>
      <c r="G49" s="51">
        <v>125</v>
      </c>
      <c r="H49" s="51">
        <v>40</v>
      </c>
      <c r="I49" s="51"/>
      <c r="J49" s="51">
        <f t="shared" si="2"/>
        <v>165</v>
      </c>
    </row>
    <row r="50" spans="1:10" ht="15.65" customHeight="1" x14ac:dyDescent="0.8">
      <c r="A50" s="42" t="s">
        <v>371</v>
      </c>
      <c r="B50" s="52" t="s">
        <v>115</v>
      </c>
      <c r="C50" s="42" t="s">
        <v>7</v>
      </c>
      <c r="D50" s="42" t="s">
        <v>364</v>
      </c>
      <c r="E50" s="42"/>
      <c r="F50" s="42"/>
      <c r="G50" s="51">
        <v>85</v>
      </c>
      <c r="H50" s="51"/>
      <c r="I50" s="51"/>
      <c r="J50" s="51">
        <f>SUM(G50:I50)</f>
        <v>85</v>
      </c>
    </row>
    <row r="51" spans="1:10" ht="16" x14ac:dyDescent="0.8">
      <c r="A51" s="42" t="s">
        <v>371</v>
      </c>
      <c r="B51" s="52" t="s">
        <v>113</v>
      </c>
      <c r="C51" s="42" t="s">
        <v>7</v>
      </c>
      <c r="D51" s="42" t="s">
        <v>370</v>
      </c>
      <c r="E51" s="42" t="s">
        <v>9</v>
      </c>
      <c r="F51" s="42"/>
      <c r="G51" s="51">
        <v>105</v>
      </c>
      <c r="H51" s="51">
        <v>40</v>
      </c>
      <c r="I51" s="51"/>
      <c r="J51" s="51">
        <f>SUM(G51:I51)</f>
        <v>145</v>
      </c>
    </row>
    <row r="52" spans="1:10" ht="16" x14ac:dyDescent="0.8">
      <c r="A52" s="42" t="s">
        <v>371</v>
      </c>
      <c r="B52" s="52" t="s">
        <v>76</v>
      </c>
      <c r="C52" s="42" t="s">
        <v>7</v>
      </c>
      <c r="D52" s="42" t="s">
        <v>363</v>
      </c>
      <c r="E52" s="42" t="s">
        <v>9</v>
      </c>
      <c r="F52" s="42"/>
      <c r="G52" s="51">
        <v>125</v>
      </c>
      <c r="H52" s="51">
        <v>40</v>
      </c>
      <c r="I52" s="51"/>
      <c r="J52" s="51">
        <f t="shared" ref="J52:J65" si="3">SUM(G52:I52)</f>
        <v>165</v>
      </c>
    </row>
    <row r="53" spans="1:10" ht="16" x14ac:dyDescent="0.8">
      <c r="A53" s="42" t="s">
        <v>371</v>
      </c>
      <c r="B53" s="52" t="s">
        <v>151</v>
      </c>
      <c r="C53" s="42" t="s">
        <v>365</v>
      </c>
      <c r="D53" s="42" t="s">
        <v>363</v>
      </c>
      <c r="E53" s="42" t="s">
        <v>9</v>
      </c>
      <c r="F53" s="42"/>
      <c r="G53" s="51">
        <v>125</v>
      </c>
      <c r="H53" s="51">
        <v>40</v>
      </c>
      <c r="I53" s="51"/>
      <c r="J53" s="51">
        <f t="shared" si="3"/>
        <v>165</v>
      </c>
    </row>
    <row r="54" spans="1:10" ht="16" x14ac:dyDescent="0.8">
      <c r="A54" s="42" t="s">
        <v>371</v>
      </c>
      <c r="B54" s="52" t="s">
        <v>119</v>
      </c>
      <c r="C54" s="42" t="s">
        <v>365</v>
      </c>
      <c r="D54" s="42" t="s">
        <v>363</v>
      </c>
      <c r="E54" s="42" t="s">
        <v>9</v>
      </c>
      <c r="F54" s="42"/>
      <c r="G54" s="51">
        <v>125</v>
      </c>
      <c r="H54" s="51">
        <v>40</v>
      </c>
      <c r="I54" s="51"/>
      <c r="J54" s="51">
        <f t="shared" si="3"/>
        <v>165</v>
      </c>
    </row>
    <row r="55" spans="1:10" ht="16" x14ac:dyDescent="0.8">
      <c r="A55" s="42" t="s">
        <v>371</v>
      </c>
      <c r="B55" s="52" t="s">
        <v>168</v>
      </c>
      <c r="C55" s="42" t="s">
        <v>365</v>
      </c>
      <c r="D55" s="42" t="s">
        <v>363</v>
      </c>
      <c r="E55" s="42"/>
      <c r="F55" s="42"/>
      <c r="G55" s="51">
        <v>125</v>
      </c>
      <c r="H55" s="51"/>
      <c r="I55" s="51"/>
      <c r="J55" s="51">
        <f t="shared" si="3"/>
        <v>125</v>
      </c>
    </row>
    <row r="56" spans="1:10" ht="16" x14ac:dyDescent="0.8">
      <c r="A56" s="42" t="s">
        <v>371</v>
      </c>
      <c r="B56" s="52" t="s">
        <v>122</v>
      </c>
      <c r="C56" s="42" t="s">
        <v>365</v>
      </c>
      <c r="D56" s="42" t="s">
        <v>363</v>
      </c>
      <c r="E56" s="42"/>
      <c r="F56" s="42"/>
      <c r="G56" s="51">
        <v>125</v>
      </c>
      <c r="H56" s="51"/>
      <c r="I56" s="51"/>
      <c r="J56" s="51">
        <f t="shared" si="3"/>
        <v>125</v>
      </c>
    </row>
    <row r="57" spans="1:10" ht="16" x14ac:dyDescent="0.8">
      <c r="A57" s="42" t="s">
        <v>371</v>
      </c>
      <c r="B57" s="52" t="s">
        <v>185</v>
      </c>
      <c r="C57" s="42" t="s">
        <v>365</v>
      </c>
      <c r="D57" s="42" t="s">
        <v>370</v>
      </c>
      <c r="E57" s="42" t="s">
        <v>9</v>
      </c>
      <c r="F57" s="42"/>
      <c r="G57" s="51">
        <v>105</v>
      </c>
      <c r="H57" s="51">
        <v>40</v>
      </c>
      <c r="I57" s="51"/>
      <c r="J57" s="51">
        <f t="shared" si="3"/>
        <v>145</v>
      </c>
    </row>
    <row r="58" spans="1:10" ht="16" x14ac:dyDescent="0.8">
      <c r="A58" s="42" t="s">
        <v>371</v>
      </c>
      <c r="B58" s="52" t="s">
        <v>141</v>
      </c>
      <c r="C58" s="42" t="s">
        <v>365</v>
      </c>
      <c r="D58" s="42" t="s">
        <v>363</v>
      </c>
      <c r="E58" s="42" t="s">
        <v>9</v>
      </c>
      <c r="F58" s="42"/>
      <c r="G58" s="51">
        <v>125</v>
      </c>
      <c r="H58" s="51">
        <v>40</v>
      </c>
      <c r="I58" s="51"/>
      <c r="J58" s="51">
        <f t="shared" si="3"/>
        <v>165</v>
      </c>
    </row>
    <row r="59" spans="1:10" ht="16" x14ac:dyDescent="0.8">
      <c r="A59" s="42" t="s">
        <v>371</v>
      </c>
      <c r="B59" s="52" t="s">
        <v>131</v>
      </c>
      <c r="C59" s="42" t="s">
        <v>365</v>
      </c>
      <c r="D59" s="42" t="s">
        <v>363</v>
      </c>
      <c r="E59" s="42"/>
      <c r="F59" s="42"/>
      <c r="G59" s="51">
        <v>125</v>
      </c>
      <c r="H59" s="51"/>
      <c r="I59" s="51"/>
      <c r="J59" s="51">
        <f t="shared" si="3"/>
        <v>125</v>
      </c>
    </row>
    <row r="60" spans="1:10" ht="16" x14ac:dyDescent="0.8">
      <c r="A60" s="42" t="s">
        <v>371</v>
      </c>
      <c r="B60" s="52" t="s">
        <v>142</v>
      </c>
      <c r="C60" s="42" t="s">
        <v>7</v>
      </c>
      <c r="D60" s="42" t="s">
        <v>369</v>
      </c>
      <c r="E60" s="42"/>
      <c r="F60" s="42"/>
      <c r="G60" s="51">
        <v>40</v>
      </c>
      <c r="H60" s="51"/>
      <c r="I60" s="51"/>
      <c r="J60" s="51">
        <f t="shared" si="3"/>
        <v>40</v>
      </c>
    </row>
    <row r="61" spans="1:10" ht="16" x14ac:dyDescent="0.8">
      <c r="A61" s="42" t="s">
        <v>371</v>
      </c>
      <c r="B61" s="52" t="s">
        <v>169</v>
      </c>
      <c r="C61" s="42" t="s">
        <v>7</v>
      </c>
      <c r="D61" s="42" t="s">
        <v>367</v>
      </c>
      <c r="E61" s="42" t="s">
        <v>9</v>
      </c>
      <c r="F61" s="42"/>
      <c r="G61" s="51">
        <v>125</v>
      </c>
      <c r="H61" s="51">
        <v>40</v>
      </c>
      <c r="I61" s="51"/>
      <c r="J61" s="51">
        <f t="shared" si="3"/>
        <v>165</v>
      </c>
    </row>
    <row r="62" spans="1:10" ht="16" x14ac:dyDescent="0.8">
      <c r="A62" s="42" t="s">
        <v>371</v>
      </c>
      <c r="B62" s="52" t="s">
        <v>156</v>
      </c>
      <c r="C62" s="42" t="s">
        <v>7</v>
      </c>
      <c r="D62" s="42" t="s">
        <v>363</v>
      </c>
      <c r="E62" s="42" t="s">
        <v>9</v>
      </c>
      <c r="F62" s="42"/>
      <c r="G62" s="51">
        <v>125</v>
      </c>
      <c r="H62" s="51">
        <v>40</v>
      </c>
      <c r="I62" s="51"/>
      <c r="J62" s="51">
        <f t="shared" si="3"/>
        <v>165</v>
      </c>
    </row>
    <row r="63" spans="1:10" ht="16" x14ac:dyDescent="0.8">
      <c r="A63" s="42" t="s">
        <v>371</v>
      </c>
      <c r="B63" s="52" t="s">
        <v>182</v>
      </c>
      <c r="C63" s="42" t="s">
        <v>7</v>
      </c>
      <c r="D63" s="42" t="s">
        <v>364</v>
      </c>
      <c r="E63" s="42"/>
      <c r="F63" s="42"/>
      <c r="G63" s="51">
        <v>85</v>
      </c>
      <c r="H63" s="51"/>
      <c r="I63" s="51"/>
      <c r="J63" s="51">
        <f t="shared" si="3"/>
        <v>85</v>
      </c>
    </row>
    <row r="64" spans="1:10" ht="16" x14ac:dyDescent="0.8">
      <c r="A64" s="42" t="s">
        <v>371</v>
      </c>
      <c r="B64" s="52" t="s">
        <v>114</v>
      </c>
      <c r="C64" s="42" t="s">
        <v>7</v>
      </c>
      <c r="D64" s="42" t="s">
        <v>364</v>
      </c>
      <c r="E64" s="42"/>
      <c r="F64" s="42"/>
      <c r="G64" s="51">
        <v>85</v>
      </c>
      <c r="H64" s="51"/>
      <c r="I64" s="51"/>
      <c r="J64" s="51">
        <f t="shared" si="3"/>
        <v>85</v>
      </c>
    </row>
    <row r="65" spans="1:10" ht="16" x14ac:dyDescent="0.8">
      <c r="A65" s="42" t="s">
        <v>371</v>
      </c>
      <c r="B65" s="42" t="s">
        <v>64</v>
      </c>
      <c r="C65" s="42" t="s">
        <v>365</v>
      </c>
      <c r="D65" s="42" t="s">
        <v>364</v>
      </c>
      <c r="E65" s="42"/>
      <c r="F65" s="42" t="s">
        <v>9</v>
      </c>
      <c r="G65" s="51">
        <v>85</v>
      </c>
      <c r="H65" s="51">
        <v>40</v>
      </c>
      <c r="I65" s="51"/>
      <c r="J65" s="51">
        <f t="shared" si="3"/>
        <v>125</v>
      </c>
    </row>
    <row r="66" spans="1:10" ht="16" x14ac:dyDescent="0.8">
      <c r="A66" s="42" t="s">
        <v>372</v>
      </c>
      <c r="B66" s="52" t="s">
        <v>130</v>
      </c>
      <c r="C66" s="42" t="s">
        <v>365</v>
      </c>
      <c r="D66" s="42" t="s">
        <v>363</v>
      </c>
      <c r="E66" s="42"/>
      <c r="F66" s="42"/>
      <c r="G66" s="51">
        <v>125</v>
      </c>
      <c r="H66" s="51"/>
      <c r="I66" s="51"/>
      <c r="J66" s="51">
        <f>SUM(G66:I66)</f>
        <v>125</v>
      </c>
    </row>
    <row r="67" spans="1:10" ht="16" x14ac:dyDescent="0.8">
      <c r="A67" s="42" t="s">
        <v>372</v>
      </c>
      <c r="B67" s="52" t="s">
        <v>152</v>
      </c>
      <c r="C67" s="42" t="s">
        <v>365</v>
      </c>
      <c r="D67" s="42" t="s">
        <v>370</v>
      </c>
      <c r="E67" s="42"/>
      <c r="F67" s="42"/>
      <c r="G67" s="51">
        <v>105</v>
      </c>
      <c r="H67" s="51"/>
      <c r="I67" s="51"/>
      <c r="J67" s="51">
        <f t="shared" ref="J67:J81" si="4">SUM(G67:I67)</f>
        <v>105</v>
      </c>
    </row>
    <row r="68" spans="1:10" ht="16" x14ac:dyDescent="0.8">
      <c r="A68" s="42" t="s">
        <v>372</v>
      </c>
      <c r="B68" s="52" t="s">
        <v>155</v>
      </c>
      <c r="C68" s="42" t="s">
        <v>7</v>
      </c>
      <c r="D68" s="42" t="s">
        <v>364</v>
      </c>
      <c r="E68" s="42"/>
      <c r="F68" s="42" t="s">
        <v>9</v>
      </c>
      <c r="G68" s="51">
        <v>85</v>
      </c>
      <c r="H68" s="51">
        <v>40</v>
      </c>
      <c r="I68" s="51"/>
      <c r="J68" s="51">
        <f t="shared" si="4"/>
        <v>125</v>
      </c>
    </row>
    <row r="69" spans="1:10" ht="16" x14ac:dyDescent="0.8">
      <c r="A69" s="42" t="s">
        <v>372</v>
      </c>
      <c r="B69" s="52" t="s">
        <v>153</v>
      </c>
      <c r="C69" s="42" t="s">
        <v>7</v>
      </c>
      <c r="D69" s="42" t="s">
        <v>363</v>
      </c>
      <c r="E69" s="42"/>
      <c r="F69" s="42" t="s">
        <v>9</v>
      </c>
      <c r="G69" s="51">
        <v>125</v>
      </c>
      <c r="H69" s="51">
        <v>40</v>
      </c>
      <c r="I69" s="51"/>
      <c r="J69" s="51">
        <f t="shared" si="4"/>
        <v>165</v>
      </c>
    </row>
    <row r="70" spans="1:10" ht="16" x14ac:dyDescent="0.8">
      <c r="A70" s="42" t="s">
        <v>372</v>
      </c>
      <c r="B70" s="52" t="s">
        <v>167</v>
      </c>
      <c r="C70" s="42" t="s">
        <v>7</v>
      </c>
      <c r="D70" s="42" t="s">
        <v>363</v>
      </c>
      <c r="E70" s="42"/>
      <c r="F70" s="42" t="s">
        <v>9</v>
      </c>
      <c r="G70" s="51">
        <v>125</v>
      </c>
      <c r="H70" s="51">
        <v>40</v>
      </c>
      <c r="I70" s="51"/>
      <c r="J70" s="51">
        <f t="shared" si="4"/>
        <v>165</v>
      </c>
    </row>
    <row r="71" spans="1:10" ht="16" x14ac:dyDescent="0.8">
      <c r="A71" s="42" t="s">
        <v>372</v>
      </c>
      <c r="B71" s="52" t="s">
        <v>128</v>
      </c>
      <c r="C71" s="42" t="s">
        <v>365</v>
      </c>
      <c r="D71" s="42" t="s">
        <v>363</v>
      </c>
      <c r="E71" s="42"/>
      <c r="F71" s="42"/>
      <c r="G71" s="51">
        <v>125</v>
      </c>
      <c r="H71" s="51"/>
      <c r="I71" s="51"/>
      <c r="J71" s="51">
        <f t="shared" si="4"/>
        <v>125</v>
      </c>
    </row>
    <row r="72" spans="1:10" ht="16" x14ac:dyDescent="0.8">
      <c r="A72" s="42" t="s">
        <v>372</v>
      </c>
      <c r="B72" s="52" t="s">
        <v>136</v>
      </c>
      <c r="C72" s="42" t="s">
        <v>7</v>
      </c>
      <c r="D72" s="42" t="s">
        <v>364</v>
      </c>
      <c r="E72" s="42"/>
      <c r="F72" s="42"/>
      <c r="G72" s="51">
        <v>85</v>
      </c>
      <c r="H72" s="51"/>
      <c r="I72" s="51"/>
      <c r="J72" s="51">
        <f t="shared" si="4"/>
        <v>85</v>
      </c>
    </row>
    <row r="73" spans="1:10" ht="16" x14ac:dyDescent="0.8">
      <c r="A73" s="42" t="s">
        <v>372</v>
      </c>
      <c r="B73" s="52" t="s">
        <v>137</v>
      </c>
      <c r="C73" s="42" t="s">
        <v>7</v>
      </c>
      <c r="D73" s="42" t="s">
        <v>364</v>
      </c>
      <c r="E73" s="42"/>
      <c r="F73" s="42"/>
      <c r="G73" s="51">
        <v>85</v>
      </c>
      <c r="H73" s="51"/>
      <c r="I73" s="51"/>
      <c r="J73" s="51">
        <f t="shared" si="4"/>
        <v>85</v>
      </c>
    </row>
    <row r="74" spans="1:10" ht="16" x14ac:dyDescent="0.8">
      <c r="A74" s="42" t="s">
        <v>372</v>
      </c>
      <c r="B74" s="52" t="s">
        <v>112</v>
      </c>
      <c r="C74" s="42" t="s">
        <v>7</v>
      </c>
      <c r="D74" s="42" t="s">
        <v>364</v>
      </c>
      <c r="E74" s="42"/>
      <c r="F74" s="42"/>
      <c r="G74" s="51">
        <v>85</v>
      </c>
      <c r="H74" s="51"/>
      <c r="I74" s="51"/>
      <c r="J74" s="51">
        <f t="shared" si="4"/>
        <v>85</v>
      </c>
    </row>
    <row r="75" spans="1:10" ht="16" x14ac:dyDescent="0.8">
      <c r="A75" s="42" t="s">
        <v>372</v>
      </c>
      <c r="B75" s="52" t="s">
        <v>120</v>
      </c>
      <c r="C75" s="42" t="s">
        <v>7</v>
      </c>
      <c r="D75" s="42" t="s">
        <v>364</v>
      </c>
      <c r="E75" s="42"/>
      <c r="F75" s="42"/>
      <c r="G75" s="51">
        <v>85</v>
      </c>
      <c r="H75" s="51"/>
      <c r="I75" s="51"/>
      <c r="J75" s="51">
        <f t="shared" si="4"/>
        <v>85</v>
      </c>
    </row>
    <row r="76" spans="1:10" ht="16" x14ac:dyDescent="0.8">
      <c r="A76" s="42" t="s">
        <v>372</v>
      </c>
      <c r="B76" s="52" t="s">
        <v>121</v>
      </c>
      <c r="C76" s="42" t="s">
        <v>7</v>
      </c>
      <c r="D76" s="42" t="s">
        <v>370</v>
      </c>
      <c r="E76" s="42"/>
      <c r="F76" s="42" t="s">
        <v>9</v>
      </c>
      <c r="G76" s="51">
        <v>105</v>
      </c>
      <c r="H76" s="51">
        <v>40</v>
      </c>
      <c r="I76" s="51"/>
      <c r="J76" s="51">
        <f t="shared" si="4"/>
        <v>145</v>
      </c>
    </row>
    <row r="77" spans="1:10" ht="16" x14ac:dyDescent="0.8">
      <c r="A77" s="42" t="s">
        <v>372</v>
      </c>
      <c r="B77" s="52" t="s">
        <v>139</v>
      </c>
      <c r="C77" s="42" t="s">
        <v>7</v>
      </c>
      <c r="D77" s="42" t="s">
        <v>364</v>
      </c>
      <c r="E77" s="42"/>
      <c r="F77" s="42"/>
      <c r="G77" s="51">
        <v>85</v>
      </c>
      <c r="H77" s="51"/>
      <c r="I77" s="51"/>
      <c r="J77" s="51">
        <f t="shared" si="4"/>
        <v>85</v>
      </c>
    </row>
    <row r="78" spans="1:10" ht="16" x14ac:dyDescent="0.8">
      <c r="A78" s="42" t="s">
        <v>372</v>
      </c>
      <c r="B78" s="52" t="s">
        <v>140</v>
      </c>
      <c r="C78" s="42" t="s">
        <v>7</v>
      </c>
      <c r="D78" s="42" t="s">
        <v>364</v>
      </c>
      <c r="E78" s="42"/>
      <c r="F78" s="42"/>
      <c r="G78" s="51">
        <v>85</v>
      </c>
      <c r="H78" s="51"/>
      <c r="I78" s="51"/>
      <c r="J78" s="51">
        <f t="shared" si="4"/>
        <v>85</v>
      </c>
    </row>
    <row r="79" spans="1:10" ht="16" x14ac:dyDescent="0.8">
      <c r="A79" s="42" t="s">
        <v>372</v>
      </c>
      <c r="B79" s="52" t="s">
        <v>132</v>
      </c>
      <c r="C79" s="42" t="s">
        <v>365</v>
      </c>
      <c r="D79" s="42" t="s">
        <v>363</v>
      </c>
      <c r="E79" s="42"/>
      <c r="F79" s="42" t="s">
        <v>9</v>
      </c>
      <c r="G79" s="51">
        <v>125</v>
      </c>
      <c r="H79" s="51">
        <v>40</v>
      </c>
      <c r="I79" s="51"/>
      <c r="J79" s="51">
        <f t="shared" si="4"/>
        <v>165</v>
      </c>
    </row>
    <row r="80" spans="1:10" ht="16" x14ac:dyDescent="0.8">
      <c r="A80" s="42" t="s">
        <v>372</v>
      </c>
      <c r="B80" s="52" t="s">
        <v>123</v>
      </c>
      <c r="C80" s="42" t="s">
        <v>365</v>
      </c>
      <c r="D80" s="42" t="s">
        <v>373</v>
      </c>
      <c r="E80" s="42"/>
      <c r="F80" s="42" t="s">
        <v>9</v>
      </c>
      <c r="G80" s="51">
        <v>155</v>
      </c>
      <c r="H80" s="51">
        <v>40</v>
      </c>
      <c r="I80" s="51"/>
      <c r="J80" s="51">
        <f t="shared" si="4"/>
        <v>195</v>
      </c>
    </row>
    <row r="81" spans="1:10" ht="16" x14ac:dyDescent="0.8">
      <c r="A81" s="42" t="s">
        <v>372</v>
      </c>
      <c r="B81" s="52" t="s">
        <v>187</v>
      </c>
      <c r="C81" s="42" t="s">
        <v>365</v>
      </c>
      <c r="D81" s="42" t="s">
        <v>363</v>
      </c>
      <c r="E81" s="42"/>
      <c r="F81" s="42" t="s">
        <v>9</v>
      </c>
      <c r="G81" s="51">
        <v>125</v>
      </c>
      <c r="H81" s="51">
        <v>40</v>
      </c>
      <c r="I81" s="51"/>
      <c r="J81" s="51">
        <f t="shared" si="4"/>
        <v>165</v>
      </c>
    </row>
    <row r="82" spans="1:10" ht="16" x14ac:dyDescent="0.8">
      <c r="A82" s="42" t="s">
        <v>374</v>
      </c>
      <c r="B82" s="42" t="s">
        <v>184</v>
      </c>
      <c r="C82" s="42" t="s">
        <v>7</v>
      </c>
      <c r="D82" s="42" t="s">
        <v>363</v>
      </c>
      <c r="E82" s="42" t="s">
        <v>21</v>
      </c>
      <c r="F82" s="42" t="s">
        <v>9</v>
      </c>
      <c r="G82" s="51">
        <v>125</v>
      </c>
      <c r="H82" s="51">
        <v>45</v>
      </c>
      <c r="I82" s="51">
        <v>40</v>
      </c>
      <c r="J82" s="51">
        <f>SUM(G82:I82)</f>
        <v>210</v>
      </c>
    </row>
    <row r="83" spans="1:10" ht="16" x14ac:dyDescent="0.8">
      <c r="A83" s="42" t="s">
        <v>374</v>
      </c>
      <c r="B83" s="42" t="s">
        <v>111</v>
      </c>
      <c r="C83" s="42" t="s">
        <v>7</v>
      </c>
      <c r="D83" s="42" t="s">
        <v>364</v>
      </c>
      <c r="E83" s="42"/>
      <c r="F83" s="42"/>
      <c r="G83" s="51">
        <v>85</v>
      </c>
      <c r="H83" s="51"/>
      <c r="I83" s="51"/>
      <c r="J83" s="51">
        <f t="shared" ref="J83:J90" si="5">SUM(G83:I83)</f>
        <v>85</v>
      </c>
    </row>
    <row r="84" spans="1:10" ht="16" x14ac:dyDescent="0.8">
      <c r="A84" s="42" t="s">
        <v>374</v>
      </c>
      <c r="B84" s="42" t="s">
        <v>134</v>
      </c>
      <c r="C84" s="42" t="s">
        <v>7</v>
      </c>
      <c r="D84" s="42" t="s">
        <v>369</v>
      </c>
      <c r="E84" s="42"/>
      <c r="F84" s="42"/>
      <c r="G84" s="51">
        <v>40</v>
      </c>
      <c r="H84" s="51"/>
      <c r="I84" s="51"/>
      <c r="J84" s="51">
        <f t="shared" si="5"/>
        <v>40</v>
      </c>
    </row>
    <row r="85" spans="1:10" ht="16" x14ac:dyDescent="0.8">
      <c r="A85" s="42" t="s">
        <v>374</v>
      </c>
      <c r="B85" s="42" t="s">
        <v>190</v>
      </c>
      <c r="C85" s="42" t="s">
        <v>7</v>
      </c>
      <c r="D85" s="42" t="s">
        <v>363</v>
      </c>
      <c r="E85" s="42"/>
      <c r="F85" s="42" t="s">
        <v>9</v>
      </c>
      <c r="G85" s="51">
        <v>125</v>
      </c>
      <c r="H85" s="51"/>
      <c r="I85" s="51">
        <v>40</v>
      </c>
      <c r="J85" s="51">
        <f t="shared" si="5"/>
        <v>165</v>
      </c>
    </row>
    <row r="86" spans="1:10" ht="16" x14ac:dyDescent="0.8">
      <c r="A86" s="42" t="s">
        <v>374</v>
      </c>
      <c r="B86" s="42" t="s">
        <v>116</v>
      </c>
      <c r="C86" s="42" t="s">
        <v>7</v>
      </c>
      <c r="D86" s="42" t="s">
        <v>363</v>
      </c>
      <c r="E86" s="42"/>
      <c r="F86" s="42" t="s">
        <v>9</v>
      </c>
      <c r="G86" s="51">
        <v>125</v>
      </c>
      <c r="H86" s="51"/>
      <c r="I86" s="51">
        <v>40</v>
      </c>
      <c r="J86" s="51">
        <f t="shared" si="5"/>
        <v>165</v>
      </c>
    </row>
    <row r="87" spans="1:10" ht="16" x14ac:dyDescent="0.8">
      <c r="A87" s="42" t="s">
        <v>374</v>
      </c>
      <c r="B87" s="42" t="s">
        <v>188</v>
      </c>
      <c r="C87" s="42" t="s">
        <v>365</v>
      </c>
      <c r="D87" s="42" t="s">
        <v>363</v>
      </c>
      <c r="E87" s="42"/>
      <c r="F87" s="42" t="s">
        <v>9</v>
      </c>
      <c r="G87" s="51">
        <v>125</v>
      </c>
      <c r="H87" s="51"/>
      <c r="I87" s="51">
        <v>40</v>
      </c>
      <c r="J87" s="51">
        <f t="shared" si="5"/>
        <v>165</v>
      </c>
    </row>
    <row r="88" spans="1:10" ht="16" x14ac:dyDescent="0.8">
      <c r="A88" s="42" t="s">
        <v>374</v>
      </c>
      <c r="B88" s="42" t="s">
        <v>148</v>
      </c>
      <c r="C88" s="42" t="s">
        <v>365</v>
      </c>
      <c r="D88" s="42" t="s">
        <v>363</v>
      </c>
      <c r="E88" s="42"/>
      <c r="F88" s="42"/>
      <c r="G88" s="51">
        <v>125</v>
      </c>
      <c r="H88" s="51"/>
      <c r="I88" s="51"/>
      <c r="J88" s="51">
        <f t="shared" si="5"/>
        <v>125</v>
      </c>
    </row>
    <row r="89" spans="1:10" ht="16" x14ac:dyDescent="0.8">
      <c r="A89" s="42" t="s">
        <v>374</v>
      </c>
      <c r="B89" s="42" t="s">
        <v>118</v>
      </c>
      <c r="C89" s="42" t="s">
        <v>365</v>
      </c>
      <c r="D89" s="42" t="s">
        <v>369</v>
      </c>
      <c r="E89" s="42"/>
      <c r="F89" s="42"/>
      <c r="G89" s="51">
        <v>40</v>
      </c>
      <c r="H89" s="51"/>
      <c r="I89" s="51"/>
      <c r="J89" s="51">
        <f t="shared" si="5"/>
        <v>40</v>
      </c>
    </row>
    <row r="90" spans="1:10" ht="16" x14ac:dyDescent="0.8">
      <c r="A90" s="42" t="s">
        <v>374</v>
      </c>
      <c r="B90" s="42" t="s">
        <v>117</v>
      </c>
      <c r="C90" s="42" t="s">
        <v>365</v>
      </c>
      <c r="D90" s="42" t="s">
        <v>363</v>
      </c>
      <c r="E90" s="42"/>
      <c r="F90" s="42" t="s">
        <v>9</v>
      </c>
      <c r="G90" s="51">
        <v>125</v>
      </c>
      <c r="H90" s="51"/>
      <c r="I90" s="51">
        <v>40</v>
      </c>
      <c r="J90" s="51">
        <f t="shared" si="5"/>
        <v>165</v>
      </c>
    </row>
    <row r="91" spans="1:10" x14ac:dyDescent="0.75">
      <c r="J91" s="55">
        <f>SUM(J9:J90)</f>
        <v>10650</v>
      </c>
    </row>
    <row r="100" spans="4:4" x14ac:dyDescent="0.75">
      <c r="D100" s="39" t="s">
        <v>375</v>
      </c>
    </row>
  </sheetData>
  <sortState xmlns:xlrd2="http://schemas.microsoft.com/office/spreadsheetml/2017/richdata2" ref="G1:G100">
    <sortCondition ref="G1:G100"/>
  </sortState>
  <conditionalFormatting sqref="B10">
    <cfRule type="duplicateValues" dxfId="149" priority="4"/>
  </conditionalFormatting>
  <conditionalFormatting sqref="B1:B1048576">
    <cfRule type="duplicateValues" dxfId="148" priority="1"/>
    <cfRule type="duplicateValues" dxfId="147" priority="2"/>
    <cfRule type="duplicateValues" dxfId="146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30A2-0B8B-40A5-A910-D98593A3CAFB}">
  <sheetPr>
    <tabColor rgb="FF00B050"/>
  </sheetPr>
  <dimension ref="A1:J104"/>
  <sheetViews>
    <sheetView topLeftCell="A24" zoomScale="80" zoomScaleNormal="80" workbookViewId="0">
      <selection activeCell="C9" sqref="C9"/>
    </sheetView>
  </sheetViews>
  <sheetFormatPr defaultColWidth="8.625" defaultRowHeight="14.75" x14ac:dyDescent="0.75"/>
  <cols>
    <col min="1" max="1" width="30.58203125" style="58" customWidth="1"/>
    <col min="2" max="2" width="16.1640625" style="58" customWidth="1"/>
    <col min="3" max="3" width="15.9140625" style="58" customWidth="1"/>
    <col min="4" max="4" width="15.5390625" style="58" customWidth="1"/>
    <col min="5" max="5" width="38.7890625" style="58" bestFit="1" customWidth="1"/>
    <col min="6" max="6" width="29.20703125" style="58" customWidth="1"/>
    <col min="7" max="7" width="13.4140625" style="58" customWidth="1"/>
    <col min="8" max="8" width="9.5" style="58" customWidth="1"/>
    <col min="9" max="9" width="10.58203125" style="58" customWidth="1"/>
    <col min="10" max="10" width="10.25" style="58" bestFit="1" customWidth="1"/>
    <col min="11" max="16384" width="8.625" style="39"/>
  </cols>
  <sheetData>
    <row r="1" spans="1:10" x14ac:dyDescent="0.75">
      <c r="A1" s="56" t="s">
        <v>86</v>
      </c>
      <c r="B1" s="57"/>
      <c r="C1" s="57"/>
      <c r="D1" s="57"/>
    </row>
    <row r="2" spans="1:10" x14ac:dyDescent="0.75">
      <c r="A2" s="56" t="s">
        <v>87</v>
      </c>
      <c r="B2" s="57"/>
      <c r="C2" s="43" t="s">
        <v>88</v>
      </c>
      <c r="D2" s="59">
        <v>44778</v>
      </c>
    </row>
    <row r="3" spans="1:10" x14ac:dyDescent="0.75">
      <c r="A3" s="56" t="s">
        <v>89</v>
      </c>
      <c r="B3" s="57"/>
      <c r="C3" s="43" t="s">
        <v>90</v>
      </c>
      <c r="D3" s="59">
        <v>44765</v>
      </c>
    </row>
    <row r="4" spans="1:10" x14ac:dyDescent="0.75">
      <c r="A4" s="56" t="s">
        <v>91</v>
      </c>
      <c r="B4" s="57"/>
      <c r="C4" s="43" t="s">
        <v>92</v>
      </c>
      <c r="D4" s="57">
        <v>44</v>
      </c>
    </row>
    <row r="5" spans="1:10" x14ac:dyDescent="0.75">
      <c r="A5" s="56" t="s">
        <v>93</v>
      </c>
      <c r="B5" s="57"/>
      <c r="C5" s="43" t="s">
        <v>94</v>
      </c>
      <c r="D5" s="57" t="s">
        <v>95</v>
      </c>
    </row>
    <row r="6" spans="1:10" x14ac:dyDescent="0.75">
      <c r="A6" s="57"/>
      <c r="B6" s="57"/>
      <c r="C6" s="43" t="s">
        <v>96</v>
      </c>
      <c r="D6" s="57"/>
    </row>
    <row r="7" spans="1:10" x14ac:dyDescent="0.75">
      <c r="A7" s="57"/>
      <c r="B7" s="57"/>
      <c r="C7" s="43" t="s">
        <v>97</v>
      </c>
      <c r="D7" s="60"/>
    </row>
    <row r="8" spans="1:10" s="77" customFormat="1" ht="48" x14ac:dyDescent="0.8">
      <c r="A8" s="71" t="s">
        <v>0</v>
      </c>
      <c r="B8" s="71" t="s">
        <v>1</v>
      </c>
      <c r="C8" s="71" t="s">
        <v>2</v>
      </c>
      <c r="D8" s="71" t="s">
        <v>3</v>
      </c>
      <c r="E8" s="72" t="s">
        <v>4</v>
      </c>
      <c r="F8" s="73" t="s">
        <v>4</v>
      </c>
      <c r="G8" s="74" t="s">
        <v>100</v>
      </c>
      <c r="H8" s="74" t="s">
        <v>98</v>
      </c>
      <c r="I8" s="74" t="s">
        <v>99</v>
      </c>
      <c r="J8" s="75" t="s">
        <v>97</v>
      </c>
    </row>
    <row r="9" spans="1:10" ht="16" x14ac:dyDescent="0.8">
      <c r="A9" s="42" t="s">
        <v>376</v>
      </c>
      <c r="B9" s="52" t="s">
        <v>280</v>
      </c>
      <c r="C9" s="42" t="s">
        <v>20</v>
      </c>
      <c r="D9" s="106" t="s">
        <v>363</v>
      </c>
      <c r="E9" s="42" t="s">
        <v>387</v>
      </c>
      <c r="F9" s="42" t="s">
        <v>9</v>
      </c>
      <c r="G9" s="51">
        <v>125</v>
      </c>
      <c r="H9" s="51">
        <v>85</v>
      </c>
      <c r="I9" s="51">
        <v>40</v>
      </c>
      <c r="J9" s="51">
        <f>SUM(G9:I9)</f>
        <v>250</v>
      </c>
    </row>
    <row r="10" spans="1:10" ht="16" x14ac:dyDescent="0.8">
      <c r="A10" s="42" t="s">
        <v>376</v>
      </c>
      <c r="B10" s="52" t="s">
        <v>289</v>
      </c>
      <c r="C10" s="42" t="s">
        <v>24</v>
      </c>
      <c r="D10" s="42" t="s">
        <v>369</v>
      </c>
      <c r="E10" s="42"/>
      <c r="F10" s="42"/>
      <c r="G10" s="51">
        <v>40</v>
      </c>
      <c r="H10" s="51"/>
      <c r="I10" s="51"/>
      <c r="J10" s="51">
        <f t="shared" ref="J10:J20" si="0">SUM(G10:I10)</f>
        <v>40</v>
      </c>
    </row>
    <row r="11" spans="1:10" ht="16" x14ac:dyDescent="0.8">
      <c r="A11" s="42" t="s">
        <v>376</v>
      </c>
      <c r="B11" s="52" t="s">
        <v>284</v>
      </c>
      <c r="C11" s="42" t="s">
        <v>20</v>
      </c>
      <c r="D11" s="42" t="s">
        <v>363</v>
      </c>
      <c r="E11" s="42"/>
      <c r="F11" s="42" t="s">
        <v>9</v>
      </c>
      <c r="G11" s="51">
        <v>125</v>
      </c>
      <c r="H11" s="51"/>
      <c r="I11" s="51">
        <v>40</v>
      </c>
      <c r="J11" s="51">
        <f t="shared" si="0"/>
        <v>165</v>
      </c>
    </row>
    <row r="12" spans="1:10" ht="16" x14ac:dyDescent="0.8">
      <c r="A12" s="42" t="s">
        <v>376</v>
      </c>
      <c r="B12" s="52" t="s">
        <v>275</v>
      </c>
      <c r="C12" s="42" t="s">
        <v>24</v>
      </c>
      <c r="D12" s="42" t="s">
        <v>363</v>
      </c>
      <c r="E12" s="42"/>
      <c r="F12" s="42" t="s">
        <v>9</v>
      </c>
      <c r="G12" s="51">
        <v>125</v>
      </c>
      <c r="H12" s="51"/>
      <c r="I12" s="51">
        <v>40</v>
      </c>
      <c r="J12" s="51">
        <f t="shared" si="0"/>
        <v>165</v>
      </c>
    </row>
    <row r="13" spans="1:10" ht="16" x14ac:dyDescent="0.8">
      <c r="A13" s="42" t="s">
        <v>376</v>
      </c>
      <c r="B13" s="52" t="s">
        <v>277</v>
      </c>
      <c r="C13" s="42" t="s">
        <v>20</v>
      </c>
      <c r="D13" s="42" t="s">
        <v>364</v>
      </c>
      <c r="E13" s="42"/>
      <c r="F13" s="42" t="s">
        <v>9</v>
      </c>
      <c r="G13" s="51">
        <v>85</v>
      </c>
      <c r="H13" s="51"/>
      <c r="I13" s="51">
        <v>40</v>
      </c>
      <c r="J13" s="51">
        <f t="shared" si="0"/>
        <v>125</v>
      </c>
    </row>
    <row r="14" spans="1:10" ht="16" x14ac:dyDescent="0.8">
      <c r="A14" s="42" t="s">
        <v>376</v>
      </c>
      <c r="B14" s="52" t="s">
        <v>319</v>
      </c>
      <c r="C14" s="42" t="s">
        <v>24</v>
      </c>
      <c r="D14" s="42" t="s">
        <v>364</v>
      </c>
      <c r="E14" s="42"/>
      <c r="F14" s="42" t="s">
        <v>9</v>
      </c>
      <c r="G14" s="51">
        <v>85</v>
      </c>
      <c r="H14" s="51"/>
      <c r="I14" s="51">
        <v>40</v>
      </c>
      <c r="J14" s="51">
        <f t="shared" si="0"/>
        <v>125</v>
      </c>
    </row>
    <row r="15" spans="1:10" ht="16" x14ac:dyDescent="0.8">
      <c r="A15" s="42" t="s">
        <v>376</v>
      </c>
      <c r="B15" s="52" t="s">
        <v>276</v>
      </c>
      <c r="C15" s="42" t="s">
        <v>24</v>
      </c>
      <c r="D15" s="42" t="s">
        <v>364</v>
      </c>
      <c r="E15" s="42"/>
      <c r="F15" s="42" t="s">
        <v>9</v>
      </c>
      <c r="G15" s="51">
        <v>85</v>
      </c>
      <c r="H15" s="51"/>
      <c r="I15" s="51">
        <v>40</v>
      </c>
      <c r="J15" s="51">
        <f t="shared" si="0"/>
        <v>125</v>
      </c>
    </row>
    <row r="16" spans="1:10" ht="16" x14ac:dyDescent="0.8">
      <c r="A16" s="42" t="s">
        <v>376</v>
      </c>
      <c r="B16" s="52" t="s">
        <v>273</v>
      </c>
      <c r="C16" s="42" t="s">
        <v>7</v>
      </c>
      <c r="D16" s="42" t="s">
        <v>369</v>
      </c>
      <c r="E16" s="42"/>
      <c r="F16" s="42"/>
      <c r="G16" s="51">
        <v>40</v>
      </c>
      <c r="H16" s="51"/>
      <c r="I16" s="51"/>
      <c r="J16" s="51">
        <f t="shared" si="0"/>
        <v>40</v>
      </c>
    </row>
    <row r="17" spans="1:10" ht="16" x14ac:dyDescent="0.8">
      <c r="A17" s="42" t="s">
        <v>376</v>
      </c>
      <c r="B17" s="52" t="s">
        <v>272</v>
      </c>
      <c r="C17" s="42" t="s">
        <v>7</v>
      </c>
      <c r="D17" s="42" t="s">
        <v>369</v>
      </c>
      <c r="E17" s="42"/>
      <c r="F17" s="42"/>
      <c r="G17" s="51">
        <v>40</v>
      </c>
      <c r="H17" s="51"/>
      <c r="I17" s="51"/>
      <c r="J17" s="51">
        <f t="shared" si="0"/>
        <v>40</v>
      </c>
    </row>
    <row r="18" spans="1:10" ht="13.5" customHeight="1" x14ac:dyDescent="0.8">
      <c r="A18" s="42" t="s">
        <v>376</v>
      </c>
      <c r="B18" s="52" t="s">
        <v>271</v>
      </c>
      <c r="C18" s="42" t="s">
        <v>7</v>
      </c>
      <c r="D18" s="42" t="s">
        <v>363</v>
      </c>
      <c r="E18" s="42"/>
      <c r="F18" s="42"/>
      <c r="G18" s="51">
        <v>125</v>
      </c>
      <c r="H18" s="51"/>
      <c r="I18" s="51"/>
      <c r="J18" s="51">
        <f t="shared" si="0"/>
        <v>125</v>
      </c>
    </row>
    <row r="19" spans="1:10" ht="16" x14ac:dyDescent="0.8">
      <c r="A19" s="42" t="s">
        <v>376</v>
      </c>
      <c r="B19" s="52" t="s">
        <v>269</v>
      </c>
      <c r="C19" s="42" t="s">
        <v>24</v>
      </c>
      <c r="D19" s="42" t="s">
        <v>363</v>
      </c>
      <c r="E19" s="42"/>
      <c r="F19" s="42"/>
      <c r="G19" s="51">
        <v>125</v>
      </c>
      <c r="H19" s="42"/>
      <c r="I19" s="42"/>
      <c r="J19" s="51">
        <f t="shared" si="0"/>
        <v>125</v>
      </c>
    </row>
    <row r="20" spans="1:10" ht="16" x14ac:dyDescent="0.8">
      <c r="A20" s="42" t="s">
        <v>376</v>
      </c>
      <c r="B20" s="52" t="s">
        <v>270</v>
      </c>
      <c r="C20" s="42" t="s">
        <v>20</v>
      </c>
      <c r="D20" s="42" t="s">
        <v>364</v>
      </c>
      <c r="E20" s="42"/>
      <c r="F20" s="42"/>
      <c r="G20" s="51">
        <v>85</v>
      </c>
      <c r="H20" s="42"/>
      <c r="I20" s="42"/>
      <c r="J20" s="51">
        <f t="shared" si="0"/>
        <v>85</v>
      </c>
    </row>
    <row r="21" spans="1:10" ht="16" x14ac:dyDescent="0.8">
      <c r="A21" s="42" t="s">
        <v>376</v>
      </c>
      <c r="B21" s="52" t="s">
        <v>306</v>
      </c>
      <c r="C21" s="42" t="s">
        <v>20</v>
      </c>
      <c r="D21" s="42" t="s">
        <v>363</v>
      </c>
      <c r="E21" s="42"/>
      <c r="F21" s="42" t="s">
        <v>9</v>
      </c>
      <c r="G21" s="51">
        <v>125</v>
      </c>
      <c r="H21" s="51"/>
      <c r="I21" s="51">
        <v>40</v>
      </c>
      <c r="J21" s="54">
        <f>SUM(G21:I21)</f>
        <v>165</v>
      </c>
    </row>
    <row r="22" spans="1:10" ht="16" x14ac:dyDescent="0.8">
      <c r="A22" s="42" t="s">
        <v>377</v>
      </c>
      <c r="B22" s="52" t="s">
        <v>351</v>
      </c>
      <c r="C22" s="42" t="s">
        <v>20</v>
      </c>
      <c r="D22" s="42" t="s">
        <v>33</v>
      </c>
      <c r="E22" s="42"/>
      <c r="F22" s="42"/>
      <c r="G22" s="51">
        <v>85</v>
      </c>
      <c r="H22" s="51"/>
      <c r="I22" s="51"/>
      <c r="J22" s="51">
        <f>SUM(G22:I22)</f>
        <v>85</v>
      </c>
    </row>
    <row r="23" spans="1:10" ht="16" x14ac:dyDescent="0.8">
      <c r="A23" s="42" t="s">
        <v>377</v>
      </c>
      <c r="B23" s="52" t="s">
        <v>350</v>
      </c>
      <c r="C23" s="42" t="s">
        <v>20</v>
      </c>
      <c r="D23" s="42" t="s">
        <v>17</v>
      </c>
      <c r="E23" s="42" t="s">
        <v>9</v>
      </c>
      <c r="F23" s="42"/>
      <c r="G23" s="51">
        <v>105</v>
      </c>
      <c r="H23" s="51"/>
      <c r="I23" s="51">
        <v>40</v>
      </c>
      <c r="J23" s="51">
        <f t="shared" ref="J23:J35" si="1">SUM(G23:I23)</f>
        <v>145</v>
      </c>
    </row>
    <row r="24" spans="1:10" ht="16" x14ac:dyDescent="0.8">
      <c r="A24" s="42" t="s">
        <v>377</v>
      </c>
      <c r="B24" s="52" t="s">
        <v>282</v>
      </c>
      <c r="C24" s="42" t="s">
        <v>20</v>
      </c>
      <c r="D24" s="42" t="s">
        <v>17</v>
      </c>
      <c r="E24" s="42" t="s">
        <v>9</v>
      </c>
      <c r="F24" s="42"/>
      <c r="G24" s="51">
        <v>105</v>
      </c>
      <c r="H24" s="51"/>
      <c r="I24" s="51">
        <v>40</v>
      </c>
      <c r="J24" s="51">
        <f t="shared" si="1"/>
        <v>145</v>
      </c>
    </row>
    <row r="25" spans="1:10" ht="16" x14ac:dyDescent="0.8">
      <c r="A25" s="42" t="s">
        <v>377</v>
      </c>
      <c r="B25" s="52" t="s">
        <v>281</v>
      </c>
      <c r="C25" s="42" t="s">
        <v>20</v>
      </c>
      <c r="D25" s="42" t="s">
        <v>33</v>
      </c>
      <c r="E25" s="42"/>
      <c r="F25" s="42"/>
      <c r="G25" s="51">
        <v>85</v>
      </c>
      <c r="H25" s="51"/>
      <c r="I25" s="51"/>
      <c r="J25" s="51">
        <f t="shared" si="1"/>
        <v>85</v>
      </c>
    </row>
    <row r="26" spans="1:10" ht="16" x14ac:dyDescent="0.8">
      <c r="A26" s="42" t="s">
        <v>377</v>
      </c>
      <c r="B26" s="52" t="s">
        <v>293</v>
      </c>
      <c r="C26" s="42" t="s">
        <v>24</v>
      </c>
      <c r="D26" s="42" t="s">
        <v>8</v>
      </c>
      <c r="E26" s="42"/>
      <c r="F26" s="42"/>
      <c r="G26" s="51">
        <v>125</v>
      </c>
      <c r="H26" s="51"/>
      <c r="I26" s="51"/>
      <c r="J26" s="51">
        <f t="shared" si="1"/>
        <v>125</v>
      </c>
    </row>
    <row r="27" spans="1:10" ht="16" x14ac:dyDescent="0.8">
      <c r="A27" s="42" t="s">
        <v>377</v>
      </c>
      <c r="B27" s="52" t="s">
        <v>296</v>
      </c>
      <c r="C27" s="42" t="s">
        <v>24</v>
      </c>
      <c r="D27" s="42" t="s">
        <v>15</v>
      </c>
      <c r="E27" s="42"/>
      <c r="F27" s="42"/>
      <c r="G27" s="51">
        <v>40</v>
      </c>
      <c r="H27" s="51"/>
      <c r="I27" s="51"/>
      <c r="J27" s="51">
        <f t="shared" si="1"/>
        <v>40</v>
      </c>
    </row>
    <row r="28" spans="1:10" ht="16" x14ac:dyDescent="0.8">
      <c r="A28" s="42" t="s">
        <v>377</v>
      </c>
      <c r="B28" s="52" t="s">
        <v>301</v>
      </c>
      <c r="C28" s="42" t="s">
        <v>24</v>
      </c>
      <c r="D28" s="42" t="s">
        <v>8</v>
      </c>
      <c r="E28" s="42" t="s">
        <v>9</v>
      </c>
      <c r="F28" s="42"/>
      <c r="G28" s="51">
        <v>125</v>
      </c>
      <c r="H28" s="51">
        <v>40</v>
      </c>
      <c r="I28" s="51"/>
      <c r="J28" s="51">
        <f t="shared" si="1"/>
        <v>165</v>
      </c>
    </row>
    <row r="29" spans="1:10" ht="16" x14ac:dyDescent="0.8">
      <c r="A29" s="42" t="s">
        <v>377</v>
      </c>
      <c r="B29" s="52" t="s">
        <v>328</v>
      </c>
      <c r="C29" s="42" t="s">
        <v>20</v>
      </c>
      <c r="D29" s="42" t="s">
        <v>33</v>
      </c>
      <c r="E29" s="42" t="s">
        <v>9</v>
      </c>
      <c r="F29" s="42"/>
      <c r="G29" s="51">
        <v>85</v>
      </c>
      <c r="H29" s="51">
        <v>40</v>
      </c>
      <c r="I29" s="51"/>
      <c r="J29" s="51">
        <f t="shared" si="1"/>
        <v>125</v>
      </c>
    </row>
    <row r="30" spans="1:10" ht="16" x14ac:dyDescent="0.8">
      <c r="A30" s="42" t="s">
        <v>377</v>
      </c>
      <c r="B30" s="52" t="s">
        <v>338</v>
      </c>
      <c r="C30" s="42" t="s">
        <v>24</v>
      </c>
      <c r="D30" s="42" t="s">
        <v>33</v>
      </c>
      <c r="E30" s="42"/>
      <c r="F30" s="42"/>
      <c r="G30" s="51">
        <v>85</v>
      </c>
      <c r="H30" s="51"/>
      <c r="I30" s="51"/>
      <c r="J30" s="51">
        <f t="shared" si="1"/>
        <v>85</v>
      </c>
    </row>
    <row r="31" spans="1:10" ht="16" x14ac:dyDescent="0.8">
      <c r="A31" s="42" t="s">
        <v>377</v>
      </c>
      <c r="B31" s="52" t="s">
        <v>291</v>
      </c>
      <c r="C31" s="42" t="s">
        <v>20</v>
      </c>
      <c r="D31" s="42" t="s">
        <v>8</v>
      </c>
      <c r="E31" s="42" t="s">
        <v>9</v>
      </c>
      <c r="F31" s="42"/>
      <c r="G31" s="51">
        <v>125</v>
      </c>
      <c r="H31" s="51"/>
      <c r="I31" s="51">
        <v>40</v>
      </c>
      <c r="J31" s="51">
        <f t="shared" si="1"/>
        <v>165</v>
      </c>
    </row>
    <row r="32" spans="1:10" ht="16" x14ac:dyDescent="0.8">
      <c r="A32" s="42" t="s">
        <v>377</v>
      </c>
      <c r="B32" s="52" t="s">
        <v>312</v>
      </c>
      <c r="C32" s="42" t="s">
        <v>20</v>
      </c>
      <c r="D32" s="42" t="s">
        <v>33</v>
      </c>
      <c r="E32" s="42"/>
      <c r="F32" s="42"/>
      <c r="G32" s="51">
        <v>85</v>
      </c>
      <c r="H32" s="51"/>
      <c r="I32" s="51"/>
      <c r="J32" s="51">
        <f t="shared" si="1"/>
        <v>85</v>
      </c>
    </row>
    <row r="33" spans="1:10" ht="16" x14ac:dyDescent="0.8">
      <c r="A33" s="42" t="s">
        <v>377</v>
      </c>
      <c r="B33" s="52" t="s">
        <v>299</v>
      </c>
      <c r="C33" s="42" t="s">
        <v>24</v>
      </c>
      <c r="D33" s="42" t="s">
        <v>8</v>
      </c>
      <c r="E33" s="42" t="s">
        <v>9</v>
      </c>
      <c r="F33" s="42"/>
      <c r="G33" s="51">
        <v>125</v>
      </c>
      <c r="H33" s="51">
        <v>40</v>
      </c>
      <c r="I33" s="51"/>
      <c r="J33" s="51">
        <f t="shared" si="1"/>
        <v>165</v>
      </c>
    </row>
    <row r="34" spans="1:10" ht="16" x14ac:dyDescent="0.8">
      <c r="A34" s="42" t="s">
        <v>377</v>
      </c>
      <c r="B34" s="52" t="s">
        <v>304</v>
      </c>
      <c r="C34" s="42" t="s">
        <v>361</v>
      </c>
      <c r="D34" s="42" t="s">
        <v>8</v>
      </c>
      <c r="E34" s="42" t="s">
        <v>9</v>
      </c>
      <c r="F34" s="42"/>
      <c r="G34" s="51">
        <v>125</v>
      </c>
      <c r="H34" s="51">
        <v>40</v>
      </c>
      <c r="I34" s="51"/>
      <c r="J34" s="54">
        <f t="shared" si="1"/>
        <v>165</v>
      </c>
    </row>
    <row r="35" spans="1:10" ht="16" x14ac:dyDescent="0.8">
      <c r="A35" s="42" t="s">
        <v>377</v>
      </c>
      <c r="B35" s="52" t="s">
        <v>300</v>
      </c>
      <c r="C35" s="42" t="s">
        <v>7</v>
      </c>
      <c r="D35" s="42" t="s">
        <v>8</v>
      </c>
      <c r="E35" s="42" t="s">
        <v>9</v>
      </c>
      <c r="F35" s="42"/>
      <c r="G35" s="51">
        <v>125</v>
      </c>
      <c r="H35" s="51">
        <v>40</v>
      </c>
      <c r="I35" s="51"/>
      <c r="J35" s="51">
        <f t="shared" si="1"/>
        <v>165</v>
      </c>
    </row>
    <row r="36" spans="1:10" ht="16" x14ac:dyDescent="0.8">
      <c r="A36" s="42" t="s">
        <v>377</v>
      </c>
      <c r="B36" s="52" t="s">
        <v>298</v>
      </c>
      <c r="C36" s="42" t="s">
        <v>20</v>
      </c>
      <c r="D36" s="42" t="s">
        <v>8</v>
      </c>
      <c r="E36" s="42" t="s">
        <v>9</v>
      </c>
      <c r="F36" s="52"/>
      <c r="G36" s="54">
        <v>125</v>
      </c>
      <c r="H36" s="54">
        <v>40</v>
      </c>
      <c r="I36" s="54"/>
      <c r="J36" s="54">
        <f>SUM(G36:I36)</f>
        <v>165</v>
      </c>
    </row>
    <row r="37" spans="1:10" ht="16" x14ac:dyDescent="0.8">
      <c r="A37" s="42" t="s">
        <v>377</v>
      </c>
      <c r="B37" s="52" t="s">
        <v>297</v>
      </c>
      <c r="C37" s="42" t="s">
        <v>20</v>
      </c>
      <c r="D37" s="42" t="s">
        <v>8</v>
      </c>
      <c r="E37" s="42" t="s">
        <v>9</v>
      </c>
      <c r="F37" s="42"/>
      <c r="G37" s="61">
        <v>125</v>
      </c>
      <c r="H37" s="61">
        <v>40</v>
      </c>
      <c r="I37" s="42"/>
      <c r="J37" s="61">
        <f>SUM(G37:I37)</f>
        <v>165</v>
      </c>
    </row>
    <row r="38" spans="1:10" ht="16" x14ac:dyDescent="0.8">
      <c r="A38" s="42" t="s">
        <v>377</v>
      </c>
      <c r="B38" s="52" t="s">
        <v>333</v>
      </c>
      <c r="C38" s="42" t="s">
        <v>24</v>
      </c>
      <c r="D38" s="42" t="s">
        <v>8</v>
      </c>
      <c r="E38" s="42"/>
      <c r="F38" s="42"/>
      <c r="G38" s="61">
        <v>125</v>
      </c>
      <c r="H38" s="42"/>
      <c r="I38" s="42"/>
      <c r="J38" s="40">
        <f>SUM(G38:I38)</f>
        <v>125</v>
      </c>
    </row>
    <row r="39" spans="1:10" ht="16" x14ac:dyDescent="0.8">
      <c r="A39" s="42" t="s">
        <v>377</v>
      </c>
      <c r="B39" s="52" t="s">
        <v>134</v>
      </c>
      <c r="C39" s="42" t="s">
        <v>24</v>
      </c>
      <c r="D39" s="42" t="s">
        <v>8</v>
      </c>
      <c r="E39" s="42" t="s">
        <v>9</v>
      </c>
      <c r="F39" s="42"/>
      <c r="G39" s="51">
        <v>125</v>
      </c>
      <c r="H39" s="51">
        <v>40</v>
      </c>
      <c r="I39" s="51"/>
      <c r="J39" s="51">
        <f>SUM(G39:I39)</f>
        <v>165</v>
      </c>
    </row>
    <row r="40" spans="1:10" ht="16" x14ac:dyDescent="0.8">
      <c r="A40" s="42" t="s">
        <v>378</v>
      </c>
      <c r="B40" s="52" t="s">
        <v>302</v>
      </c>
      <c r="C40" s="42" t="s">
        <v>20</v>
      </c>
      <c r="D40" s="42" t="s">
        <v>32</v>
      </c>
      <c r="E40" s="42" t="s">
        <v>9</v>
      </c>
      <c r="F40" s="42"/>
      <c r="G40" s="51">
        <v>155</v>
      </c>
      <c r="H40" s="51">
        <v>40</v>
      </c>
      <c r="I40" s="51"/>
      <c r="J40" s="51">
        <f>SUM(G40:I40)</f>
        <v>195</v>
      </c>
    </row>
    <row r="41" spans="1:10" ht="16" x14ac:dyDescent="0.8">
      <c r="A41" s="42" t="s">
        <v>378</v>
      </c>
      <c r="B41" s="52" t="s">
        <v>292</v>
      </c>
      <c r="C41" s="42" t="s">
        <v>24</v>
      </c>
      <c r="D41" s="42" t="s">
        <v>8</v>
      </c>
      <c r="E41" s="42"/>
      <c r="F41" s="42"/>
      <c r="G41" s="51">
        <v>125</v>
      </c>
      <c r="H41" s="51"/>
      <c r="I41" s="51"/>
      <c r="J41" s="51">
        <f t="shared" ref="J41:J54" si="2">SUM(G41:I41)</f>
        <v>125</v>
      </c>
    </row>
    <row r="42" spans="1:10" ht="16" x14ac:dyDescent="0.8">
      <c r="A42" s="42" t="s">
        <v>378</v>
      </c>
      <c r="B42" s="52" t="s">
        <v>317</v>
      </c>
      <c r="C42" s="42" t="s">
        <v>20</v>
      </c>
      <c r="D42" s="42" t="s">
        <v>33</v>
      </c>
      <c r="E42" s="42" t="s">
        <v>9</v>
      </c>
      <c r="F42" s="42"/>
      <c r="G42" s="51">
        <v>85</v>
      </c>
      <c r="H42" s="51">
        <v>40</v>
      </c>
      <c r="I42" s="51"/>
      <c r="J42" s="51">
        <f t="shared" si="2"/>
        <v>125</v>
      </c>
    </row>
    <row r="43" spans="1:10" ht="16" x14ac:dyDescent="0.8">
      <c r="A43" s="42" t="s">
        <v>378</v>
      </c>
      <c r="B43" s="52" t="s">
        <v>274</v>
      </c>
      <c r="C43" s="42" t="s">
        <v>24</v>
      </c>
      <c r="D43" s="42" t="s">
        <v>33</v>
      </c>
      <c r="E43" s="42" t="s">
        <v>9</v>
      </c>
      <c r="F43" s="42"/>
      <c r="G43" s="51">
        <v>85</v>
      </c>
      <c r="H43" s="51">
        <v>40</v>
      </c>
      <c r="I43" s="51"/>
      <c r="J43" s="51">
        <f t="shared" si="2"/>
        <v>125</v>
      </c>
    </row>
    <row r="44" spans="1:10" ht="16" x14ac:dyDescent="0.8">
      <c r="A44" s="42" t="s">
        <v>378</v>
      </c>
      <c r="B44" s="52" t="s">
        <v>348</v>
      </c>
      <c r="C44" s="42" t="s">
        <v>20</v>
      </c>
      <c r="D44" s="42" t="s">
        <v>33</v>
      </c>
      <c r="E44" s="42"/>
      <c r="F44" s="42"/>
      <c r="G44" s="51">
        <v>85</v>
      </c>
      <c r="H44" s="51">
        <v>25</v>
      </c>
      <c r="I44" s="51"/>
      <c r="J44" s="51">
        <f t="shared" si="2"/>
        <v>110</v>
      </c>
    </row>
    <row r="45" spans="1:10" ht="16" x14ac:dyDescent="0.8">
      <c r="A45" s="42" t="s">
        <v>378</v>
      </c>
      <c r="B45" s="52" t="s">
        <v>305</v>
      </c>
      <c r="C45" s="42" t="s">
        <v>24</v>
      </c>
      <c r="D45" s="42" t="s">
        <v>8</v>
      </c>
      <c r="E45" s="42" t="s">
        <v>21</v>
      </c>
      <c r="F45" s="42"/>
      <c r="G45" s="51">
        <v>125</v>
      </c>
      <c r="H45" s="51">
        <v>45</v>
      </c>
      <c r="I45" s="51"/>
      <c r="J45" s="51">
        <f t="shared" si="2"/>
        <v>170</v>
      </c>
    </row>
    <row r="46" spans="1:10" ht="16" x14ac:dyDescent="0.8">
      <c r="A46" s="42" t="s">
        <v>378</v>
      </c>
      <c r="B46" s="52" t="s">
        <v>314</v>
      </c>
      <c r="C46" s="42" t="s">
        <v>7</v>
      </c>
      <c r="D46" s="42" t="s">
        <v>8</v>
      </c>
      <c r="E46" s="42" t="s">
        <v>9</v>
      </c>
      <c r="F46" s="42"/>
      <c r="G46" s="51">
        <v>125</v>
      </c>
      <c r="H46" s="51">
        <v>40</v>
      </c>
      <c r="I46" s="51"/>
      <c r="J46" s="51">
        <f t="shared" si="2"/>
        <v>165</v>
      </c>
    </row>
    <row r="47" spans="1:10" ht="16" x14ac:dyDescent="0.8">
      <c r="A47" s="42" t="s">
        <v>378</v>
      </c>
      <c r="B47" s="52" t="s">
        <v>307</v>
      </c>
      <c r="C47" s="42" t="s">
        <v>7</v>
      </c>
      <c r="D47" s="42" t="s">
        <v>8</v>
      </c>
      <c r="E47" s="42" t="s">
        <v>9</v>
      </c>
      <c r="F47" s="42"/>
      <c r="G47" s="51">
        <v>125</v>
      </c>
      <c r="H47" s="51">
        <v>40</v>
      </c>
      <c r="I47" s="51"/>
      <c r="J47" s="51">
        <f t="shared" si="2"/>
        <v>165</v>
      </c>
    </row>
    <row r="48" spans="1:10" ht="16" x14ac:dyDescent="0.8">
      <c r="A48" s="42" t="s">
        <v>378</v>
      </c>
      <c r="B48" s="52" t="s">
        <v>313</v>
      </c>
      <c r="C48" s="42" t="s">
        <v>7</v>
      </c>
      <c r="D48" s="42" t="s">
        <v>8</v>
      </c>
      <c r="E48" s="42" t="s">
        <v>9</v>
      </c>
      <c r="F48" s="42"/>
      <c r="G48" s="51">
        <v>125</v>
      </c>
      <c r="H48" s="51">
        <v>40</v>
      </c>
      <c r="I48" s="51"/>
      <c r="J48" s="51">
        <f t="shared" si="2"/>
        <v>165</v>
      </c>
    </row>
    <row r="49" spans="1:10" s="108" customFormat="1" ht="16" x14ac:dyDescent="0.8">
      <c r="A49" s="52" t="s">
        <v>378</v>
      </c>
      <c r="B49" s="52" t="s">
        <v>341</v>
      </c>
      <c r="C49" s="52" t="s">
        <v>24</v>
      </c>
      <c r="D49" s="52" t="s">
        <v>8</v>
      </c>
      <c r="E49" s="52" t="s">
        <v>21</v>
      </c>
      <c r="F49" s="109" t="s">
        <v>9</v>
      </c>
      <c r="G49" s="54">
        <v>125</v>
      </c>
      <c r="H49" s="54">
        <v>45</v>
      </c>
      <c r="I49" s="54">
        <v>40</v>
      </c>
      <c r="J49" s="54">
        <f t="shared" si="2"/>
        <v>210</v>
      </c>
    </row>
    <row r="50" spans="1:10" ht="16" x14ac:dyDescent="0.8">
      <c r="A50" s="42" t="s">
        <v>378</v>
      </c>
      <c r="B50" s="52" t="s">
        <v>335</v>
      </c>
      <c r="C50" s="42" t="s">
        <v>20</v>
      </c>
      <c r="D50" s="42" t="s">
        <v>15</v>
      </c>
      <c r="E50" s="42"/>
      <c r="F50" s="42"/>
      <c r="G50" s="51">
        <v>40</v>
      </c>
      <c r="H50" s="51"/>
      <c r="I50" s="51"/>
      <c r="J50" s="51">
        <f t="shared" si="2"/>
        <v>40</v>
      </c>
    </row>
    <row r="51" spans="1:10" ht="16" x14ac:dyDescent="0.8">
      <c r="A51" s="42" t="s">
        <v>378</v>
      </c>
      <c r="B51" s="52" t="s">
        <v>309</v>
      </c>
      <c r="C51" s="42" t="s">
        <v>20</v>
      </c>
      <c r="D51" s="42" t="s">
        <v>8</v>
      </c>
      <c r="E51" s="42" t="s">
        <v>9</v>
      </c>
      <c r="F51" s="42"/>
      <c r="G51" s="51">
        <v>125</v>
      </c>
      <c r="H51" s="51">
        <v>40</v>
      </c>
      <c r="I51" s="51"/>
      <c r="J51" s="51">
        <f t="shared" si="2"/>
        <v>165</v>
      </c>
    </row>
    <row r="52" spans="1:10" ht="16" x14ac:dyDescent="0.8">
      <c r="A52" s="42" t="s">
        <v>378</v>
      </c>
      <c r="B52" s="52" t="s">
        <v>308</v>
      </c>
      <c r="C52" s="42" t="s">
        <v>20</v>
      </c>
      <c r="D52" s="42" t="s">
        <v>8</v>
      </c>
      <c r="E52" s="42" t="s">
        <v>9</v>
      </c>
      <c r="F52" s="42"/>
      <c r="G52" s="51">
        <v>125</v>
      </c>
      <c r="H52" s="51">
        <v>40</v>
      </c>
      <c r="I52" s="51"/>
      <c r="J52" s="51">
        <f t="shared" si="2"/>
        <v>165</v>
      </c>
    </row>
    <row r="53" spans="1:10" ht="16" x14ac:dyDescent="0.8">
      <c r="A53" s="42" t="s">
        <v>378</v>
      </c>
      <c r="B53" s="52" t="s">
        <v>346</v>
      </c>
      <c r="C53" s="42" t="s">
        <v>7</v>
      </c>
      <c r="D53" s="42" t="s">
        <v>379</v>
      </c>
      <c r="E53" s="42" t="s">
        <v>9</v>
      </c>
      <c r="F53" s="42"/>
      <c r="G53" s="51">
        <v>105</v>
      </c>
      <c r="H53" s="51">
        <v>40</v>
      </c>
      <c r="I53" s="51"/>
      <c r="J53" s="54">
        <f t="shared" si="2"/>
        <v>145</v>
      </c>
    </row>
    <row r="54" spans="1:10" ht="16" x14ac:dyDescent="0.8">
      <c r="A54" s="42" t="s">
        <v>378</v>
      </c>
      <c r="B54" s="52" t="s">
        <v>279</v>
      </c>
      <c r="C54" s="42" t="s">
        <v>7</v>
      </c>
      <c r="D54" s="42" t="s">
        <v>33</v>
      </c>
      <c r="E54" s="42" t="s">
        <v>9</v>
      </c>
      <c r="F54" s="42"/>
      <c r="G54" s="51">
        <v>85</v>
      </c>
      <c r="H54" s="51">
        <v>40</v>
      </c>
      <c r="I54" s="51"/>
      <c r="J54" s="51">
        <f t="shared" si="2"/>
        <v>125</v>
      </c>
    </row>
    <row r="55" spans="1:10" ht="16" x14ac:dyDescent="0.8">
      <c r="A55" s="42" t="s">
        <v>378</v>
      </c>
      <c r="B55" s="52" t="s">
        <v>347</v>
      </c>
      <c r="C55" s="42" t="s">
        <v>7</v>
      </c>
      <c r="D55" s="42" t="s">
        <v>33</v>
      </c>
      <c r="E55" s="42"/>
      <c r="F55" s="42"/>
      <c r="G55" s="51">
        <v>85</v>
      </c>
      <c r="H55" s="51"/>
      <c r="I55" s="51"/>
      <c r="J55" s="54">
        <f>SUM(G55:I55)</f>
        <v>85</v>
      </c>
    </row>
    <row r="56" spans="1:10" ht="16" x14ac:dyDescent="0.8">
      <c r="A56" s="42" t="s">
        <v>380</v>
      </c>
      <c r="B56" s="42" t="s">
        <v>334</v>
      </c>
      <c r="C56" s="42" t="s">
        <v>24</v>
      </c>
      <c r="D56" s="42" t="s">
        <v>8</v>
      </c>
      <c r="E56" s="42"/>
      <c r="F56" s="42"/>
      <c r="G56" s="51">
        <v>125</v>
      </c>
      <c r="H56" s="51"/>
      <c r="I56" s="51"/>
      <c r="J56" s="51">
        <f>SUM(G56:I56)</f>
        <v>125</v>
      </c>
    </row>
    <row r="57" spans="1:10" ht="16" x14ac:dyDescent="0.8">
      <c r="A57" s="42" t="s">
        <v>380</v>
      </c>
      <c r="B57" s="42" t="s">
        <v>288</v>
      </c>
      <c r="C57" s="42" t="s">
        <v>20</v>
      </c>
      <c r="D57" s="42" t="s">
        <v>33</v>
      </c>
      <c r="E57" s="42"/>
      <c r="F57" s="42"/>
      <c r="G57" s="51">
        <v>85</v>
      </c>
      <c r="H57" s="51"/>
      <c r="I57" s="51"/>
      <c r="J57" s="51">
        <f t="shared" ref="J57:J73" si="3">SUM(G57:I57)</f>
        <v>85</v>
      </c>
    </row>
    <row r="58" spans="1:10" ht="16" x14ac:dyDescent="0.8">
      <c r="A58" s="42" t="s">
        <v>380</v>
      </c>
      <c r="B58" s="42" t="s">
        <v>287</v>
      </c>
      <c r="C58" s="42" t="s">
        <v>20</v>
      </c>
      <c r="D58" s="42" t="s">
        <v>33</v>
      </c>
      <c r="E58" s="42"/>
      <c r="F58" s="42"/>
      <c r="G58" s="51">
        <v>85</v>
      </c>
      <c r="H58" s="51"/>
      <c r="I58" s="51"/>
      <c r="J58" s="51">
        <f t="shared" si="3"/>
        <v>85</v>
      </c>
    </row>
    <row r="59" spans="1:10" ht="16" x14ac:dyDescent="0.8">
      <c r="A59" s="42" t="s">
        <v>380</v>
      </c>
      <c r="B59" s="42" t="s">
        <v>345</v>
      </c>
      <c r="C59" s="42" t="s">
        <v>20</v>
      </c>
      <c r="D59" s="42" t="s">
        <v>33</v>
      </c>
      <c r="E59" s="42" t="s">
        <v>9</v>
      </c>
      <c r="F59" s="42"/>
      <c r="G59" s="51">
        <v>85</v>
      </c>
      <c r="H59" s="51">
        <v>40</v>
      </c>
      <c r="I59" s="51"/>
      <c r="J59" s="51">
        <f t="shared" si="3"/>
        <v>125</v>
      </c>
    </row>
    <row r="60" spans="1:10" ht="16" x14ac:dyDescent="0.8">
      <c r="A60" s="42" t="s">
        <v>380</v>
      </c>
      <c r="B60" s="42" t="s">
        <v>321</v>
      </c>
      <c r="C60" s="42" t="s">
        <v>24</v>
      </c>
      <c r="D60" s="42" t="s">
        <v>8</v>
      </c>
      <c r="E60" s="42" t="s">
        <v>9</v>
      </c>
      <c r="F60" s="42"/>
      <c r="G60" s="51">
        <v>125</v>
      </c>
      <c r="H60" s="51">
        <v>40</v>
      </c>
      <c r="I60" s="51"/>
      <c r="J60" s="51">
        <f t="shared" si="3"/>
        <v>165</v>
      </c>
    </row>
    <row r="61" spans="1:10" ht="16" x14ac:dyDescent="0.8">
      <c r="A61" s="42" t="s">
        <v>380</v>
      </c>
      <c r="B61" s="42" t="s">
        <v>354</v>
      </c>
      <c r="C61" s="42" t="s">
        <v>20</v>
      </c>
      <c r="D61" s="42" t="s">
        <v>33</v>
      </c>
      <c r="E61" s="42"/>
      <c r="F61" s="42"/>
      <c r="G61" s="51">
        <v>85</v>
      </c>
      <c r="H61" s="51"/>
      <c r="I61" s="51"/>
      <c r="J61" s="51">
        <f t="shared" si="3"/>
        <v>85</v>
      </c>
    </row>
    <row r="62" spans="1:10" ht="16" x14ac:dyDescent="0.8">
      <c r="A62" s="42" t="s">
        <v>380</v>
      </c>
      <c r="B62" s="42" t="s">
        <v>322</v>
      </c>
      <c r="C62" s="42" t="s">
        <v>20</v>
      </c>
      <c r="D62" s="42" t="s">
        <v>33</v>
      </c>
      <c r="E62" s="42" t="s">
        <v>9</v>
      </c>
      <c r="F62" s="42"/>
      <c r="G62" s="51">
        <v>85</v>
      </c>
      <c r="H62" s="51">
        <v>40</v>
      </c>
      <c r="I62" s="51"/>
      <c r="J62" s="51">
        <f t="shared" si="3"/>
        <v>125</v>
      </c>
    </row>
    <row r="63" spans="1:10" ht="16" x14ac:dyDescent="0.8">
      <c r="A63" s="42" t="s">
        <v>380</v>
      </c>
      <c r="B63" s="42" t="s">
        <v>311</v>
      </c>
      <c r="C63" s="42" t="s">
        <v>24</v>
      </c>
      <c r="D63" s="42" t="s">
        <v>8</v>
      </c>
      <c r="E63" s="42" t="s">
        <v>9</v>
      </c>
      <c r="F63" s="42"/>
      <c r="G63" s="51">
        <v>125</v>
      </c>
      <c r="H63" s="51">
        <v>40</v>
      </c>
      <c r="I63" s="51"/>
      <c r="J63" s="51">
        <f t="shared" si="3"/>
        <v>165</v>
      </c>
    </row>
    <row r="64" spans="1:10" ht="16" x14ac:dyDescent="0.8">
      <c r="A64" s="42" t="s">
        <v>380</v>
      </c>
      <c r="B64" s="42" t="s">
        <v>278</v>
      </c>
      <c r="C64" s="42" t="s">
        <v>20</v>
      </c>
      <c r="D64" s="42" t="s">
        <v>8</v>
      </c>
      <c r="E64" s="42" t="s">
        <v>9</v>
      </c>
      <c r="F64" s="42"/>
      <c r="G64" s="51">
        <v>125</v>
      </c>
      <c r="H64" s="51">
        <v>40</v>
      </c>
      <c r="I64" s="51"/>
      <c r="J64" s="51">
        <f t="shared" si="3"/>
        <v>165</v>
      </c>
    </row>
    <row r="65" spans="1:10" ht="16" x14ac:dyDescent="0.8">
      <c r="A65" s="42" t="s">
        <v>380</v>
      </c>
      <c r="B65" s="42" t="s">
        <v>283</v>
      </c>
      <c r="C65" s="42" t="s">
        <v>20</v>
      </c>
      <c r="D65" s="42" t="s">
        <v>8</v>
      </c>
      <c r="E65" s="42" t="s">
        <v>9</v>
      </c>
      <c r="F65" s="42"/>
      <c r="G65" s="51">
        <v>125</v>
      </c>
      <c r="H65" s="51">
        <v>40</v>
      </c>
      <c r="I65" s="51"/>
      <c r="J65" s="51">
        <f t="shared" si="3"/>
        <v>165</v>
      </c>
    </row>
    <row r="66" spans="1:10" ht="16" x14ac:dyDescent="0.8">
      <c r="A66" s="42" t="s">
        <v>380</v>
      </c>
      <c r="B66" s="42" t="s">
        <v>286</v>
      </c>
      <c r="C66" s="42" t="s">
        <v>24</v>
      </c>
      <c r="D66" s="42" t="s">
        <v>8</v>
      </c>
      <c r="E66" s="42" t="s">
        <v>9</v>
      </c>
      <c r="F66" s="42"/>
      <c r="G66" s="51">
        <v>125</v>
      </c>
      <c r="H66" s="51">
        <v>40</v>
      </c>
      <c r="I66" s="51"/>
      <c r="J66" s="51">
        <f t="shared" si="3"/>
        <v>165</v>
      </c>
    </row>
    <row r="67" spans="1:10" ht="16" x14ac:dyDescent="0.8">
      <c r="A67" s="42" t="s">
        <v>380</v>
      </c>
      <c r="B67" s="42" t="s">
        <v>336</v>
      </c>
      <c r="C67" s="42" t="s">
        <v>24</v>
      </c>
      <c r="D67" s="42" t="s">
        <v>8</v>
      </c>
      <c r="E67" s="42" t="s">
        <v>9</v>
      </c>
      <c r="F67" s="42"/>
      <c r="G67" s="51">
        <v>125</v>
      </c>
      <c r="H67" s="51">
        <v>40</v>
      </c>
      <c r="I67" s="51"/>
      <c r="J67" s="51">
        <f t="shared" si="3"/>
        <v>165</v>
      </c>
    </row>
    <row r="68" spans="1:10" ht="16" x14ac:dyDescent="0.8">
      <c r="A68" s="42" t="s">
        <v>380</v>
      </c>
      <c r="B68" s="42" t="s">
        <v>342</v>
      </c>
      <c r="C68" s="42" t="s">
        <v>20</v>
      </c>
      <c r="D68" s="42" t="s">
        <v>8</v>
      </c>
      <c r="E68" s="42"/>
      <c r="F68" s="42"/>
      <c r="G68" s="51">
        <v>125</v>
      </c>
      <c r="H68" s="51"/>
      <c r="I68" s="51"/>
      <c r="J68" s="51">
        <f t="shared" si="3"/>
        <v>125</v>
      </c>
    </row>
    <row r="69" spans="1:10" ht="16" x14ac:dyDescent="0.8">
      <c r="A69" s="42" t="s">
        <v>380</v>
      </c>
      <c r="B69" s="42" t="s">
        <v>200</v>
      </c>
      <c r="C69" s="42" t="s">
        <v>24</v>
      </c>
      <c r="D69" s="42" t="s">
        <v>15</v>
      </c>
      <c r="E69" s="42"/>
      <c r="F69" s="42"/>
      <c r="G69" s="51">
        <v>40</v>
      </c>
      <c r="H69" s="51"/>
      <c r="I69" s="51"/>
      <c r="J69" s="51">
        <f t="shared" si="3"/>
        <v>40</v>
      </c>
    </row>
    <row r="70" spans="1:10" ht="16" x14ac:dyDescent="0.8">
      <c r="A70" s="42" t="s">
        <v>380</v>
      </c>
      <c r="B70" s="42" t="s">
        <v>150</v>
      </c>
      <c r="C70" s="42" t="s">
        <v>20</v>
      </c>
      <c r="D70" s="42" t="s">
        <v>15</v>
      </c>
      <c r="E70" s="42"/>
      <c r="F70" s="42"/>
      <c r="G70" s="51">
        <v>40</v>
      </c>
      <c r="H70" s="51"/>
      <c r="I70" s="51"/>
      <c r="J70" s="51">
        <f t="shared" si="3"/>
        <v>40</v>
      </c>
    </row>
    <row r="71" spans="1:10" ht="16" x14ac:dyDescent="0.8">
      <c r="A71" s="42" t="s">
        <v>380</v>
      </c>
      <c r="B71" s="42" t="s">
        <v>318</v>
      </c>
      <c r="C71" s="42" t="s">
        <v>7</v>
      </c>
      <c r="D71" s="42" t="s">
        <v>15</v>
      </c>
      <c r="E71" s="42"/>
      <c r="F71" s="42"/>
      <c r="G71" s="51">
        <v>40</v>
      </c>
      <c r="H71" s="51"/>
      <c r="I71" s="51"/>
      <c r="J71" s="54">
        <f t="shared" si="3"/>
        <v>40</v>
      </c>
    </row>
    <row r="72" spans="1:10" ht="16" x14ac:dyDescent="0.8">
      <c r="A72" s="42" t="s">
        <v>380</v>
      </c>
      <c r="B72" s="42" t="s">
        <v>315</v>
      </c>
      <c r="C72" s="42" t="s">
        <v>7</v>
      </c>
      <c r="D72" s="42" t="s">
        <v>33</v>
      </c>
      <c r="E72" s="42" t="s">
        <v>9</v>
      </c>
      <c r="F72" s="42"/>
      <c r="G72" s="51">
        <v>85</v>
      </c>
      <c r="H72" s="51">
        <v>40</v>
      </c>
      <c r="I72" s="51"/>
      <c r="J72" s="51">
        <f t="shared" si="3"/>
        <v>125</v>
      </c>
    </row>
    <row r="73" spans="1:10" ht="16" x14ac:dyDescent="0.8">
      <c r="A73" s="42" t="s">
        <v>380</v>
      </c>
      <c r="B73" s="42" t="s">
        <v>340</v>
      </c>
      <c r="C73" s="42" t="s">
        <v>7</v>
      </c>
      <c r="D73" s="42" t="s">
        <v>33</v>
      </c>
      <c r="E73" s="42" t="s">
        <v>9</v>
      </c>
      <c r="F73" s="42"/>
      <c r="G73" s="51">
        <v>85</v>
      </c>
      <c r="H73" s="51">
        <v>40</v>
      </c>
      <c r="I73" s="51"/>
      <c r="J73" s="51">
        <f t="shared" si="3"/>
        <v>125</v>
      </c>
    </row>
    <row r="74" spans="1:10" ht="16" x14ac:dyDescent="0.8">
      <c r="A74" s="42" t="s">
        <v>380</v>
      </c>
      <c r="B74" s="42" t="s">
        <v>290</v>
      </c>
      <c r="C74" s="42" t="s">
        <v>7</v>
      </c>
      <c r="D74" s="42" t="s">
        <v>8</v>
      </c>
      <c r="E74" s="42" t="s">
        <v>9</v>
      </c>
      <c r="F74" s="42"/>
      <c r="G74" s="51">
        <v>125</v>
      </c>
      <c r="H74" s="51">
        <v>40</v>
      </c>
      <c r="I74" s="51"/>
      <c r="J74" s="51">
        <f>SUM(G74:I74)</f>
        <v>165</v>
      </c>
    </row>
    <row r="75" spans="1:10" ht="16" x14ac:dyDescent="0.8">
      <c r="A75" s="42" t="s">
        <v>380</v>
      </c>
      <c r="B75" s="42" t="s">
        <v>320</v>
      </c>
      <c r="C75" s="42" t="s">
        <v>7</v>
      </c>
      <c r="D75" s="42" t="s">
        <v>8</v>
      </c>
      <c r="E75" s="42" t="s">
        <v>9</v>
      </c>
      <c r="F75" s="42" t="s">
        <v>21</v>
      </c>
      <c r="G75" s="51">
        <v>125</v>
      </c>
      <c r="H75" s="51">
        <v>40</v>
      </c>
      <c r="I75" s="51">
        <v>45</v>
      </c>
      <c r="J75" s="51">
        <f>SUM(G75:I75)</f>
        <v>210</v>
      </c>
    </row>
    <row r="76" spans="1:10" ht="16" x14ac:dyDescent="0.8">
      <c r="A76" s="42" t="s">
        <v>381</v>
      </c>
      <c r="B76" s="42" t="s">
        <v>337</v>
      </c>
      <c r="C76" s="42" t="s">
        <v>7</v>
      </c>
      <c r="D76" s="42" t="s">
        <v>8</v>
      </c>
      <c r="E76" s="42"/>
      <c r="F76" s="42"/>
      <c r="G76" s="51">
        <v>125</v>
      </c>
      <c r="H76" s="51"/>
      <c r="I76" s="51"/>
      <c r="J76" s="51">
        <f>SUM(G76:I76)</f>
        <v>125</v>
      </c>
    </row>
    <row r="77" spans="1:10" ht="16" x14ac:dyDescent="0.8">
      <c r="A77" s="42" t="s">
        <v>381</v>
      </c>
      <c r="B77" s="42" t="s">
        <v>295</v>
      </c>
      <c r="C77" s="42" t="s">
        <v>7</v>
      </c>
      <c r="D77" s="42" t="s">
        <v>8</v>
      </c>
      <c r="E77" s="42" t="s">
        <v>9</v>
      </c>
      <c r="F77" s="42"/>
      <c r="G77" s="51">
        <v>125</v>
      </c>
      <c r="H77" s="51">
        <v>40</v>
      </c>
      <c r="I77" s="51"/>
      <c r="J77" s="51">
        <f t="shared" ref="J77:J93" si="4">SUM(G77:I77)</f>
        <v>165</v>
      </c>
    </row>
    <row r="78" spans="1:10" ht="16" x14ac:dyDescent="0.8">
      <c r="A78" s="42" t="s">
        <v>381</v>
      </c>
      <c r="B78" s="42" t="s">
        <v>352</v>
      </c>
      <c r="C78" s="42" t="s">
        <v>7</v>
      </c>
      <c r="D78" s="42" t="s">
        <v>33</v>
      </c>
      <c r="E78" s="42"/>
      <c r="F78" s="42"/>
      <c r="G78" s="51">
        <v>85</v>
      </c>
      <c r="H78" s="51"/>
      <c r="I78" s="51"/>
      <c r="J78" s="51">
        <f t="shared" si="4"/>
        <v>85</v>
      </c>
    </row>
    <row r="79" spans="1:10" ht="16" x14ac:dyDescent="0.8">
      <c r="A79" s="42" t="s">
        <v>381</v>
      </c>
      <c r="B79" s="42" t="s">
        <v>343</v>
      </c>
      <c r="C79" s="42" t="s">
        <v>7</v>
      </c>
      <c r="D79" s="42" t="s">
        <v>8</v>
      </c>
      <c r="E79" s="42" t="s">
        <v>9</v>
      </c>
      <c r="F79" s="42"/>
      <c r="G79" s="51">
        <v>125</v>
      </c>
      <c r="H79" s="51">
        <v>40</v>
      </c>
      <c r="I79" s="51"/>
      <c r="J79" s="51">
        <f t="shared" si="4"/>
        <v>165</v>
      </c>
    </row>
    <row r="80" spans="1:10" ht="16" x14ac:dyDescent="0.8">
      <c r="A80" s="42" t="s">
        <v>381</v>
      </c>
      <c r="B80" s="52" t="s">
        <v>294</v>
      </c>
      <c r="C80" s="42" t="s">
        <v>7</v>
      </c>
      <c r="D80" s="42" t="s">
        <v>8</v>
      </c>
      <c r="E80" s="42" t="s">
        <v>9</v>
      </c>
      <c r="F80" s="42"/>
      <c r="G80" s="51">
        <v>125</v>
      </c>
      <c r="H80" s="51">
        <v>40</v>
      </c>
      <c r="I80" s="51"/>
      <c r="J80" s="51">
        <f t="shared" si="4"/>
        <v>165</v>
      </c>
    </row>
    <row r="81" spans="1:10" ht="16" x14ac:dyDescent="0.8">
      <c r="A81" s="42" t="s">
        <v>381</v>
      </c>
      <c r="B81" s="52" t="s">
        <v>327</v>
      </c>
      <c r="C81" s="42" t="s">
        <v>20</v>
      </c>
      <c r="D81" s="42" t="s">
        <v>8</v>
      </c>
      <c r="E81" s="42" t="s">
        <v>9</v>
      </c>
      <c r="F81" s="42"/>
      <c r="G81" s="51">
        <v>125</v>
      </c>
      <c r="H81" s="51">
        <v>40</v>
      </c>
      <c r="I81" s="51"/>
      <c r="J81" s="51">
        <f t="shared" si="4"/>
        <v>165</v>
      </c>
    </row>
    <row r="82" spans="1:10" ht="16" x14ac:dyDescent="0.8">
      <c r="A82" s="42" t="s">
        <v>381</v>
      </c>
      <c r="B82" s="52" t="s">
        <v>332</v>
      </c>
      <c r="C82" s="42" t="s">
        <v>24</v>
      </c>
      <c r="D82" s="42" t="s">
        <v>8</v>
      </c>
      <c r="E82" s="42" t="s">
        <v>9</v>
      </c>
      <c r="F82" s="42"/>
      <c r="G82" s="51">
        <v>125</v>
      </c>
      <c r="H82" s="51">
        <v>40</v>
      </c>
      <c r="I82" s="51"/>
      <c r="J82" s="51">
        <f t="shared" si="4"/>
        <v>165</v>
      </c>
    </row>
    <row r="83" spans="1:10" ht="16" x14ac:dyDescent="0.8">
      <c r="A83" s="42" t="s">
        <v>381</v>
      </c>
      <c r="B83" s="52" t="s">
        <v>339</v>
      </c>
      <c r="C83" s="42" t="s">
        <v>20</v>
      </c>
      <c r="D83" s="42" t="s">
        <v>17</v>
      </c>
      <c r="E83" s="42" t="s">
        <v>9</v>
      </c>
      <c r="F83" s="42"/>
      <c r="G83" s="51">
        <v>125</v>
      </c>
      <c r="H83" s="51">
        <v>40</v>
      </c>
      <c r="I83" s="51"/>
      <c r="J83" s="51">
        <f t="shared" si="4"/>
        <v>165</v>
      </c>
    </row>
    <row r="84" spans="1:10" ht="16" x14ac:dyDescent="0.8">
      <c r="A84" s="42" t="s">
        <v>381</v>
      </c>
      <c r="B84" s="52" t="s">
        <v>325</v>
      </c>
      <c r="C84" s="42" t="s">
        <v>24</v>
      </c>
      <c r="D84" s="39" t="s">
        <v>8</v>
      </c>
      <c r="E84" s="39"/>
      <c r="F84" s="42"/>
      <c r="G84" s="51">
        <v>125</v>
      </c>
      <c r="H84" s="51"/>
      <c r="I84" s="51"/>
      <c r="J84" s="51">
        <f t="shared" si="4"/>
        <v>125</v>
      </c>
    </row>
    <row r="85" spans="1:10" ht="16" x14ac:dyDescent="0.8">
      <c r="A85" s="42" t="s">
        <v>381</v>
      </c>
      <c r="B85" s="52" t="s">
        <v>326</v>
      </c>
      <c r="C85" s="42" t="s">
        <v>24</v>
      </c>
      <c r="D85" s="42" t="s">
        <v>8</v>
      </c>
      <c r="E85" s="42"/>
      <c r="F85" s="42"/>
      <c r="G85" s="51">
        <v>125</v>
      </c>
      <c r="H85" s="51"/>
      <c r="I85" s="51"/>
      <c r="J85" s="51">
        <f t="shared" si="4"/>
        <v>125</v>
      </c>
    </row>
    <row r="86" spans="1:10" ht="16" x14ac:dyDescent="0.8">
      <c r="A86" s="42" t="s">
        <v>381</v>
      </c>
      <c r="B86" s="52" t="s">
        <v>324</v>
      </c>
      <c r="C86" s="42" t="s">
        <v>20</v>
      </c>
      <c r="D86" s="42" t="s">
        <v>8</v>
      </c>
      <c r="E86" s="42" t="s">
        <v>9</v>
      </c>
      <c r="F86" s="42"/>
      <c r="G86" s="51">
        <v>125</v>
      </c>
      <c r="H86" s="51">
        <v>40</v>
      </c>
      <c r="I86" s="51"/>
      <c r="J86" s="51">
        <f t="shared" si="4"/>
        <v>165</v>
      </c>
    </row>
    <row r="87" spans="1:10" ht="16" x14ac:dyDescent="0.8">
      <c r="A87" s="42" t="s">
        <v>381</v>
      </c>
      <c r="B87" s="52" t="s">
        <v>344</v>
      </c>
      <c r="C87" s="42" t="s">
        <v>24</v>
      </c>
      <c r="D87" s="42" t="s">
        <v>33</v>
      </c>
      <c r="E87" s="42" t="s">
        <v>9</v>
      </c>
      <c r="F87" s="42"/>
      <c r="G87" s="51">
        <v>85</v>
      </c>
      <c r="H87" s="51">
        <v>40</v>
      </c>
      <c r="I87" s="51"/>
      <c r="J87" s="51">
        <f t="shared" si="4"/>
        <v>125</v>
      </c>
    </row>
    <row r="88" spans="1:10" ht="16" x14ac:dyDescent="0.8">
      <c r="A88" s="42" t="s">
        <v>381</v>
      </c>
      <c r="B88" s="52" t="s">
        <v>323</v>
      </c>
      <c r="C88" s="42" t="s">
        <v>24</v>
      </c>
      <c r="D88" s="42" t="s">
        <v>8</v>
      </c>
      <c r="E88" s="42"/>
      <c r="F88" s="42"/>
      <c r="G88" s="51">
        <v>125</v>
      </c>
      <c r="H88" s="51"/>
      <c r="I88" s="51"/>
      <c r="J88" s="51">
        <f t="shared" si="4"/>
        <v>125</v>
      </c>
    </row>
    <row r="89" spans="1:10" ht="16" x14ac:dyDescent="0.8">
      <c r="A89" s="42" t="s">
        <v>381</v>
      </c>
      <c r="B89" s="52" t="s">
        <v>285</v>
      </c>
      <c r="C89" s="42" t="s">
        <v>24</v>
      </c>
      <c r="D89" s="42" t="s">
        <v>8</v>
      </c>
      <c r="E89" s="42" t="s">
        <v>9</v>
      </c>
      <c r="F89" s="42"/>
      <c r="G89" s="51">
        <v>125</v>
      </c>
      <c r="H89" s="51">
        <v>40</v>
      </c>
      <c r="I89" s="51"/>
      <c r="J89" s="51">
        <f t="shared" si="4"/>
        <v>165</v>
      </c>
    </row>
    <row r="90" spans="1:10" ht="16" x14ac:dyDescent="0.8">
      <c r="A90" s="42" t="s">
        <v>381</v>
      </c>
      <c r="B90" s="52" t="s">
        <v>316</v>
      </c>
      <c r="C90" s="42" t="s">
        <v>20</v>
      </c>
      <c r="D90" s="42" t="s">
        <v>8</v>
      </c>
      <c r="E90" s="42" t="s">
        <v>9</v>
      </c>
      <c r="F90" s="42"/>
      <c r="G90" s="51">
        <v>125</v>
      </c>
      <c r="H90" s="51">
        <v>40</v>
      </c>
      <c r="I90" s="51"/>
      <c r="J90" s="51">
        <f t="shared" si="4"/>
        <v>165</v>
      </c>
    </row>
    <row r="91" spans="1:10" ht="16" x14ac:dyDescent="0.8">
      <c r="A91" s="42" t="s">
        <v>381</v>
      </c>
      <c r="B91" s="42" t="s">
        <v>303</v>
      </c>
      <c r="C91" s="42" t="s">
        <v>20</v>
      </c>
      <c r="D91" s="42" t="s">
        <v>8</v>
      </c>
      <c r="E91" s="42" t="s">
        <v>9</v>
      </c>
      <c r="F91" s="42"/>
      <c r="G91" s="61">
        <v>125</v>
      </c>
      <c r="H91" s="51">
        <v>40</v>
      </c>
      <c r="I91" s="42"/>
      <c r="J91" s="51">
        <f t="shared" si="4"/>
        <v>165</v>
      </c>
    </row>
    <row r="92" spans="1:10" ht="16" x14ac:dyDescent="0.8">
      <c r="A92" s="42" t="s">
        <v>381</v>
      </c>
      <c r="B92" s="42" t="s">
        <v>310</v>
      </c>
      <c r="C92" s="42" t="s">
        <v>20</v>
      </c>
      <c r="D92" s="42" t="s">
        <v>8</v>
      </c>
      <c r="E92" s="42" t="s">
        <v>9</v>
      </c>
      <c r="F92" s="42"/>
      <c r="G92" s="61">
        <v>125</v>
      </c>
      <c r="H92" s="51">
        <v>40</v>
      </c>
      <c r="I92" s="42"/>
      <c r="J92" s="51">
        <f t="shared" si="4"/>
        <v>165</v>
      </c>
    </row>
    <row r="93" spans="1:10" ht="16" x14ac:dyDescent="0.8">
      <c r="A93" s="42" t="s">
        <v>381</v>
      </c>
      <c r="B93" s="42" t="s">
        <v>358</v>
      </c>
      <c r="C93" s="42" t="s">
        <v>20</v>
      </c>
      <c r="D93" s="42" t="s">
        <v>33</v>
      </c>
      <c r="E93" s="42" t="s">
        <v>9</v>
      </c>
      <c r="F93" s="42"/>
      <c r="G93" s="51">
        <v>85</v>
      </c>
      <c r="H93" s="51">
        <v>40</v>
      </c>
      <c r="I93" s="51"/>
      <c r="J93" s="54">
        <f t="shared" si="4"/>
        <v>125</v>
      </c>
    </row>
    <row r="94" spans="1:10" ht="16" x14ac:dyDescent="0.8">
      <c r="A94" s="42" t="s">
        <v>382</v>
      </c>
      <c r="B94" s="42" t="s">
        <v>355</v>
      </c>
      <c r="C94" s="42" t="s">
        <v>20</v>
      </c>
      <c r="D94" s="42" t="s">
        <v>33</v>
      </c>
      <c r="E94" s="42" t="s">
        <v>9</v>
      </c>
      <c r="F94" s="42"/>
      <c r="G94" s="51">
        <v>85</v>
      </c>
      <c r="H94" s="51">
        <v>40</v>
      </c>
      <c r="I94" s="51"/>
      <c r="J94" s="51">
        <f>SUM(G94:I94)</f>
        <v>125</v>
      </c>
    </row>
    <row r="95" spans="1:10" ht="16" x14ac:dyDescent="0.8">
      <c r="A95" s="42" t="s">
        <v>382</v>
      </c>
      <c r="B95" s="42" t="s">
        <v>357</v>
      </c>
      <c r="C95" s="42" t="s">
        <v>20</v>
      </c>
      <c r="D95" s="42" t="s">
        <v>17</v>
      </c>
      <c r="E95" s="42"/>
      <c r="F95" s="42" t="s">
        <v>9</v>
      </c>
      <c r="G95" s="51">
        <v>105</v>
      </c>
      <c r="H95" s="51"/>
      <c r="I95" s="51">
        <v>40</v>
      </c>
      <c r="J95" s="51">
        <f t="shared" ref="J95:J103" si="5">SUM(G95:I95)</f>
        <v>145</v>
      </c>
    </row>
    <row r="96" spans="1:10" ht="16" x14ac:dyDescent="0.8">
      <c r="A96" s="42" t="s">
        <v>382</v>
      </c>
      <c r="B96" s="42" t="s">
        <v>58</v>
      </c>
      <c r="C96" s="42" t="s">
        <v>24</v>
      </c>
      <c r="D96" s="42" t="s">
        <v>15</v>
      </c>
      <c r="E96" s="42"/>
      <c r="F96" s="42"/>
      <c r="G96" s="51">
        <v>40</v>
      </c>
      <c r="H96" s="51"/>
      <c r="I96" s="51"/>
      <c r="J96" s="51">
        <f t="shared" si="5"/>
        <v>40</v>
      </c>
    </row>
    <row r="97" spans="1:10" ht="16" x14ac:dyDescent="0.8">
      <c r="A97" s="42" t="s">
        <v>382</v>
      </c>
      <c r="B97" s="42" t="s">
        <v>359</v>
      </c>
      <c r="C97" s="42" t="s">
        <v>20</v>
      </c>
      <c r="D97" s="42" t="s">
        <v>33</v>
      </c>
      <c r="E97" s="42"/>
      <c r="F97" s="42"/>
      <c r="G97" s="51">
        <v>85</v>
      </c>
      <c r="H97" s="51"/>
      <c r="I97" s="51"/>
      <c r="J97" s="51">
        <f t="shared" si="5"/>
        <v>85</v>
      </c>
    </row>
    <row r="98" spans="1:10" ht="16" x14ac:dyDescent="0.8">
      <c r="A98" s="42" t="s">
        <v>382</v>
      </c>
      <c r="B98" s="42" t="s">
        <v>353</v>
      </c>
      <c r="C98" s="42" t="s">
        <v>24</v>
      </c>
      <c r="D98" s="42" t="s">
        <v>8</v>
      </c>
      <c r="E98" s="42" t="s">
        <v>9</v>
      </c>
      <c r="F98" s="42"/>
      <c r="G98" s="51">
        <v>125</v>
      </c>
      <c r="H98" s="51">
        <v>40</v>
      </c>
      <c r="I98" s="51"/>
      <c r="J98" s="51">
        <f t="shared" si="5"/>
        <v>165</v>
      </c>
    </row>
    <row r="99" spans="1:10" ht="16" x14ac:dyDescent="0.8">
      <c r="A99" s="42" t="s">
        <v>382</v>
      </c>
      <c r="B99" s="42" t="s">
        <v>356</v>
      </c>
      <c r="C99" s="42" t="s">
        <v>20</v>
      </c>
      <c r="D99" s="42" t="s">
        <v>8</v>
      </c>
      <c r="E99" s="42" t="s">
        <v>9</v>
      </c>
      <c r="F99" s="42"/>
      <c r="G99" s="51">
        <v>125</v>
      </c>
      <c r="H99" s="51">
        <v>40</v>
      </c>
      <c r="I99" s="51"/>
      <c r="J99" s="51">
        <f t="shared" si="5"/>
        <v>165</v>
      </c>
    </row>
    <row r="100" spans="1:10" ht="16" x14ac:dyDescent="0.8">
      <c r="A100" s="42" t="s">
        <v>382</v>
      </c>
      <c r="B100" s="42" t="s">
        <v>329</v>
      </c>
      <c r="C100" s="42" t="s">
        <v>24</v>
      </c>
      <c r="D100" s="42" t="s">
        <v>15</v>
      </c>
      <c r="E100" s="42"/>
      <c r="F100" s="42"/>
      <c r="G100" s="51">
        <v>40</v>
      </c>
      <c r="H100" s="51"/>
      <c r="I100" s="51"/>
      <c r="J100" s="51">
        <f t="shared" si="5"/>
        <v>40</v>
      </c>
    </row>
    <row r="101" spans="1:10" ht="16" x14ac:dyDescent="0.8">
      <c r="A101" s="42" t="s">
        <v>382</v>
      </c>
      <c r="B101" s="42" t="s">
        <v>330</v>
      </c>
      <c r="C101" s="42" t="s">
        <v>24</v>
      </c>
      <c r="D101" s="42" t="s">
        <v>33</v>
      </c>
      <c r="E101" s="42" t="s">
        <v>9</v>
      </c>
      <c r="F101" s="42"/>
      <c r="G101" s="51">
        <v>85</v>
      </c>
      <c r="H101" s="51">
        <v>40</v>
      </c>
      <c r="I101" s="51"/>
      <c r="J101" s="51">
        <f t="shared" si="5"/>
        <v>125</v>
      </c>
    </row>
    <row r="102" spans="1:10" ht="16" x14ac:dyDescent="0.8">
      <c r="A102" s="42" t="s">
        <v>382</v>
      </c>
      <c r="B102" s="42" t="s">
        <v>331</v>
      </c>
      <c r="C102" s="42" t="s">
        <v>20</v>
      </c>
      <c r="D102" s="42" t="s">
        <v>15</v>
      </c>
      <c r="E102" s="42"/>
      <c r="F102" s="42"/>
      <c r="G102" s="51">
        <v>40</v>
      </c>
      <c r="H102" s="51"/>
      <c r="I102" s="51"/>
      <c r="J102" s="51">
        <f t="shared" si="5"/>
        <v>40</v>
      </c>
    </row>
    <row r="103" spans="1:10" ht="16" x14ac:dyDescent="0.8">
      <c r="A103" s="42" t="s">
        <v>382</v>
      </c>
      <c r="B103" s="42" t="s">
        <v>349</v>
      </c>
      <c r="C103" s="42" t="s">
        <v>20</v>
      </c>
      <c r="D103" s="42" t="s">
        <v>8</v>
      </c>
      <c r="E103" s="42" t="s">
        <v>9</v>
      </c>
      <c r="F103" s="42"/>
      <c r="G103" s="51">
        <v>125</v>
      </c>
      <c r="H103" s="51">
        <v>40</v>
      </c>
      <c r="I103" s="51"/>
      <c r="J103" s="51">
        <f t="shared" si="5"/>
        <v>165</v>
      </c>
    </row>
    <row r="104" spans="1:10" x14ac:dyDescent="0.75">
      <c r="D104" s="58" t="s">
        <v>375</v>
      </c>
      <c r="J104" s="62">
        <f>SUM(J9:J103)</f>
        <v>12455</v>
      </c>
    </row>
  </sheetData>
  <conditionalFormatting sqref="B22:B38">
    <cfRule type="duplicateValues" dxfId="145" priority="8"/>
  </conditionalFormatting>
  <conditionalFormatting sqref="B22:B39">
    <cfRule type="duplicateValues" dxfId="144" priority="7"/>
  </conditionalFormatting>
  <conditionalFormatting sqref="B40:B55">
    <cfRule type="duplicateValues" dxfId="143" priority="6"/>
  </conditionalFormatting>
  <conditionalFormatting sqref="B56:B75">
    <cfRule type="duplicateValues" dxfId="142" priority="5"/>
  </conditionalFormatting>
  <conditionalFormatting sqref="B76:B93">
    <cfRule type="duplicateValues" dxfId="141" priority="4"/>
  </conditionalFormatting>
  <conditionalFormatting sqref="B1:B1048576">
    <cfRule type="duplicateValues" dxfId="140" priority="1"/>
    <cfRule type="duplicateValues" dxfId="139" priority="2"/>
    <cfRule type="duplicateValues" dxfId="138" priority="3"/>
  </conditionalFormatting>
  <conditionalFormatting sqref="B9:B21">
    <cfRule type="duplicateValues" dxfId="137" priority="9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76E3-1ECF-4CFC-B5D9-584BCAD018D2}">
  <sheetPr>
    <tabColor rgb="FF00B050"/>
  </sheetPr>
  <dimension ref="A1:J98"/>
  <sheetViews>
    <sheetView topLeftCell="A67" zoomScale="80" zoomScaleNormal="80" workbookViewId="0">
      <selection activeCell="A8" sqref="A8:J87"/>
    </sheetView>
  </sheetViews>
  <sheetFormatPr defaultColWidth="8.625" defaultRowHeight="14.75" x14ac:dyDescent="0.75"/>
  <cols>
    <col min="1" max="1" width="20.33203125" style="58" customWidth="1"/>
    <col min="2" max="2" width="16.2890625" style="58" customWidth="1"/>
    <col min="3" max="3" width="16.0390625" style="58" customWidth="1"/>
    <col min="4" max="4" width="32.0390625" style="58" customWidth="1"/>
    <col min="5" max="5" width="33.7890625" style="58" customWidth="1"/>
    <col min="6" max="6" width="32.7890625" style="58" customWidth="1"/>
    <col min="7" max="7" width="10.25" style="58" customWidth="1"/>
    <col min="8" max="8" width="10.83203125" style="58" customWidth="1"/>
    <col min="9" max="9" width="11.45703125" style="58" customWidth="1"/>
    <col min="10" max="10" width="11.25" style="58" customWidth="1"/>
    <col min="11" max="16384" width="8.625" style="39"/>
  </cols>
  <sheetData>
    <row r="1" spans="1:10" x14ac:dyDescent="0.75">
      <c r="A1" s="56" t="s">
        <v>86</v>
      </c>
      <c r="B1" s="57"/>
      <c r="C1" s="57"/>
      <c r="D1" s="57"/>
    </row>
    <row r="2" spans="1:10" x14ac:dyDescent="0.75">
      <c r="A2" s="56" t="s">
        <v>87</v>
      </c>
      <c r="B2" s="57"/>
      <c r="C2" s="43" t="s">
        <v>88</v>
      </c>
      <c r="D2" s="59">
        <v>44771</v>
      </c>
    </row>
    <row r="3" spans="1:10" x14ac:dyDescent="0.75">
      <c r="A3" s="56" t="s">
        <v>89</v>
      </c>
      <c r="B3" s="57"/>
      <c r="C3" s="43" t="s">
        <v>90</v>
      </c>
      <c r="D3" s="59">
        <v>44772</v>
      </c>
    </row>
    <row r="4" spans="1:10" x14ac:dyDescent="0.75">
      <c r="A4" s="56" t="s">
        <v>91</v>
      </c>
      <c r="B4" s="57"/>
      <c r="C4" s="43" t="s">
        <v>92</v>
      </c>
      <c r="D4" s="57">
        <v>43</v>
      </c>
    </row>
    <row r="5" spans="1:10" x14ac:dyDescent="0.75">
      <c r="A5" s="56" t="s">
        <v>93</v>
      </c>
      <c r="B5" s="57"/>
      <c r="C5" s="43" t="s">
        <v>94</v>
      </c>
      <c r="D5" s="57" t="s">
        <v>95</v>
      </c>
    </row>
    <row r="6" spans="1:10" x14ac:dyDescent="0.75">
      <c r="A6" s="57"/>
      <c r="B6" s="57"/>
      <c r="C6" s="43" t="s">
        <v>96</v>
      </c>
      <c r="D6" s="57"/>
    </row>
    <row r="7" spans="1:10" x14ac:dyDescent="0.75">
      <c r="A7" s="57"/>
      <c r="B7" s="57"/>
      <c r="C7" s="43" t="s">
        <v>97</v>
      </c>
      <c r="D7" s="60"/>
    </row>
    <row r="8" spans="1:10" s="77" customFormat="1" ht="32" x14ac:dyDescent="0.8">
      <c r="A8" s="71" t="s">
        <v>0</v>
      </c>
      <c r="B8" s="71" t="s">
        <v>1</v>
      </c>
      <c r="C8" s="71" t="s">
        <v>2</v>
      </c>
      <c r="D8" s="71" t="s">
        <v>3</v>
      </c>
      <c r="E8" s="72" t="s">
        <v>4</v>
      </c>
      <c r="F8" s="73" t="s">
        <v>4</v>
      </c>
      <c r="G8" s="74" t="s">
        <v>100</v>
      </c>
      <c r="H8" s="74" t="s">
        <v>98</v>
      </c>
      <c r="I8" s="74" t="s">
        <v>99</v>
      </c>
      <c r="J8" s="75" t="s">
        <v>97</v>
      </c>
    </row>
    <row r="9" spans="1:10" ht="16" x14ac:dyDescent="0.8">
      <c r="A9" s="42" t="s">
        <v>383</v>
      </c>
      <c r="B9" s="42" t="s">
        <v>241</v>
      </c>
      <c r="C9" s="42" t="s">
        <v>20</v>
      </c>
      <c r="D9" s="42" t="s">
        <v>8</v>
      </c>
      <c r="E9" s="42" t="s">
        <v>384</v>
      </c>
      <c r="F9" s="42"/>
      <c r="G9" s="51">
        <v>125</v>
      </c>
      <c r="H9" s="51">
        <v>40</v>
      </c>
      <c r="I9" s="51"/>
      <c r="J9" s="51">
        <f>SUM(G9:I9)</f>
        <v>165</v>
      </c>
    </row>
    <row r="10" spans="1:10" ht="16" x14ac:dyDescent="0.8">
      <c r="A10" s="42" t="s">
        <v>383</v>
      </c>
      <c r="B10" s="42" t="s">
        <v>238</v>
      </c>
      <c r="C10" s="42" t="s">
        <v>24</v>
      </c>
      <c r="D10" s="42" t="s">
        <v>8</v>
      </c>
      <c r="E10" s="42"/>
      <c r="F10" s="42"/>
      <c r="G10" s="51">
        <v>125</v>
      </c>
      <c r="H10" s="51"/>
      <c r="I10" s="51"/>
      <c r="J10" s="51">
        <f t="shared" ref="J10:J23" si="0">SUM(G10:I10)</f>
        <v>125</v>
      </c>
    </row>
    <row r="11" spans="1:10" ht="16" x14ac:dyDescent="0.8">
      <c r="A11" s="42" t="s">
        <v>383</v>
      </c>
      <c r="B11" s="42" t="s">
        <v>206</v>
      </c>
      <c r="C11" s="42" t="s">
        <v>24</v>
      </c>
      <c r="D11" s="42" t="s">
        <v>8</v>
      </c>
      <c r="E11" s="52" t="s">
        <v>387</v>
      </c>
      <c r="F11" s="42"/>
      <c r="G11" s="51">
        <v>125</v>
      </c>
      <c r="H11" s="51">
        <v>85</v>
      </c>
      <c r="I11" s="51"/>
      <c r="J11" s="51">
        <f t="shared" si="0"/>
        <v>210</v>
      </c>
    </row>
    <row r="12" spans="1:10" ht="16" x14ac:dyDescent="0.8">
      <c r="A12" s="42" t="s">
        <v>383</v>
      </c>
      <c r="B12" s="42" t="s">
        <v>210</v>
      </c>
      <c r="C12" s="42" t="s">
        <v>20</v>
      </c>
      <c r="D12" s="42" t="s">
        <v>8</v>
      </c>
      <c r="E12" s="42" t="s">
        <v>384</v>
      </c>
      <c r="F12" s="42"/>
      <c r="G12" s="51">
        <v>125</v>
      </c>
      <c r="H12" s="51">
        <v>40</v>
      </c>
      <c r="I12" s="51"/>
      <c r="J12" s="51">
        <f t="shared" si="0"/>
        <v>165</v>
      </c>
    </row>
    <row r="13" spans="1:10" ht="16" x14ac:dyDescent="0.8">
      <c r="A13" s="42" t="s">
        <v>383</v>
      </c>
      <c r="B13" s="42" t="s">
        <v>208</v>
      </c>
      <c r="C13" s="42" t="s">
        <v>20</v>
      </c>
      <c r="D13" s="42" t="s">
        <v>8</v>
      </c>
      <c r="E13" s="42" t="s">
        <v>384</v>
      </c>
      <c r="F13" s="42"/>
      <c r="G13" s="51">
        <v>125</v>
      </c>
      <c r="H13" s="51">
        <v>40</v>
      </c>
      <c r="I13" s="51"/>
      <c r="J13" s="51">
        <f t="shared" si="0"/>
        <v>165</v>
      </c>
    </row>
    <row r="14" spans="1:10" ht="16" x14ac:dyDescent="0.8">
      <c r="A14" s="42" t="s">
        <v>383</v>
      </c>
      <c r="B14" s="42" t="s">
        <v>216</v>
      </c>
      <c r="C14" s="42" t="s">
        <v>24</v>
      </c>
      <c r="D14" s="42" t="s">
        <v>33</v>
      </c>
      <c r="E14" s="42" t="s">
        <v>384</v>
      </c>
      <c r="F14" s="42"/>
      <c r="G14" s="51">
        <v>85</v>
      </c>
      <c r="H14" s="51">
        <v>40</v>
      </c>
      <c r="I14" s="51"/>
      <c r="J14" s="51">
        <f t="shared" si="0"/>
        <v>125</v>
      </c>
    </row>
    <row r="15" spans="1:10" ht="16" x14ac:dyDescent="0.8">
      <c r="A15" s="42" t="s">
        <v>383</v>
      </c>
      <c r="B15" s="42" t="s">
        <v>195</v>
      </c>
      <c r="C15" s="42" t="s">
        <v>20</v>
      </c>
      <c r="D15" s="42" t="s">
        <v>17</v>
      </c>
      <c r="E15" s="42"/>
      <c r="F15" s="42" t="s">
        <v>384</v>
      </c>
      <c r="G15" s="51">
        <v>105</v>
      </c>
      <c r="H15" s="51"/>
      <c r="I15" s="51">
        <v>40</v>
      </c>
      <c r="J15" s="51">
        <f t="shared" si="0"/>
        <v>145</v>
      </c>
    </row>
    <row r="16" spans="1:10" ht="16" x14ac:dyDescent="0.8">
      <c r="A16" s="42" t="s">
        <v>383</v>
      </c>
      <c r="B16" s="42" t="s">
        <v>192</v>
      </c>
      <c r="C16" s="42" t="s">
        <v>24</v>
      </c>
      <c r="D16" s="42" t="s">
        <v>32</v>
      </c>
      <c r="E16" s="42"/>
      <c r="F16" s="42"/>
      <c r="G16" s="51">
        <v>155</v>
      </c>
      <c r="H16" s="51"/>
      <c r="I16" s="51"/>
      <c r="J16" s="51">
        <f t="shared" si="0"/>
        <v>155</v>
      </c>
    </row>
    <row r="17" spans="1:10" ht="16" x14ac:dyDescent="0.8">
      <c r="A17" s="42" t="s">
        <v>383</v>
      </c>
      <c r="B17" s="42" t="s">
        <v>227</v>
      </c>
      <c r="C17" s="42" t="s">
        <v>20</v>
      </c>
      <c r="D17" s="42" t="s">
        <v>8</v>
      </c>
      <c r="E17" s="42" t="s">
        <v>384</v>
      </c>
      <c r="F17" s="42"/>
      <c r="G17" s="51">
        <v>125</v>
      </c>
      <c r="H17" s="51">
        <v>40</v>
      </c>
      <c r="I17" s="51"/>
      <c r="J17" s="51">
        <f t="shared" si="0"/>
        <v>165</v>
      </c>
    </row>
    <row r="18" spans="1:10" ht="16" x14ac:dyDescent="0.8">
      <c r="A18" s="42" t="s">
        <v>383</v>
      </c>
      <c r="B18" s="42" t="s">
        <v>221</v>
      </c>
      <c r="C18" s="42" t="s">
        <v>24</v>
      </c>
      <c r="D18" s="42" t="s">
        <v>15</v>
      </c>
      <c r="E18" s="42"/>
      <c r="F18" s="42"/>
      <c r="G18" s="51">
        <v>40</v>
      </c>
      <c r="H18" s="51"/>
      <c r="I18" s="51"/>
      <c r="J18" s="51">
        <f t="shared" si="0"/>
        <v>40</v>
      </c>
    </row>
    <row r="19" spans="1:10" ht="16" x14ac:dyDescent="0.8">
      <c r="A19" s="42" t="s">
        <v>383</v>
      </c>
      <c r="B19" s="42" t="s">
        <v>214</v>
      </c>
      <c r="C19" s="42" t="s">
        <v>20</v>
      </c>
      <c r="D19" s="42" t="s">
        <v>17</v>
      </c>
      <c r="E19" s="42"/>
      <c r="F19" s="42" t="s">
        <v>384</v>
      </c>
      <c r="G19" s="51">
        <v>105</v>
      </c>
      <c r="H19" s="51"/>
      <c r="I19" s="51">
        <v>40</v>
      </c>
      <c r="J19" s="51">
        <f t="shared" si="0"/>
        <v>145</v>
      </c>
    </row>
    <row r="20" spans="1:10" ht="13.5" customHeight="1" x14ac:dyDescent="0.8">
      <c r="A20" s="42" t="s">
        <v>383</v>
      </c>
      <c r="B20" s="42" t="s">
        <v>205</v>
      </c>
      <c r="C20" s="42" t="s">
        <v>20</v>
      </c>
      <c r="D20" s="42" t="s">
        <v>33</v>
      </c>
      <c r="E20" s="42" t="s">
        <v>384</v>
      </c>
      <c r="F20" s="42"/>
      <c r="G20" s="51">
        <v>85</v>
      </c>
      <c r="H20" s="51">
        <v>40</v>
      </c>
      <c r="I20" s="51"/>
      <c r="J20" s="51">
        <f t="shared" si="0"/>
        <v>125</v>
      </c>
    </row>
    <row r="21" spans="1:10" ht="16" x14ac:dyDescent="0.8">
      <c r="A21" s="42" t="s">
        <v>383</v>
      </c>
      <c r="B21" s="42" t="s">
        <v>226</v>
      </c>
      <c r="C21" s="42" t="s">
        <v>385</v>
      </c>
      <c r="D21" s="42" t="s">
        <v>15</v>
      </c>
      <c r="E21" s="42"/>
      <c r="F21" s="42"/>
      <c r="G21" s="51">
        <v>40</v>
      </c>
      <c r="H21" s="42"/>
      <c r="I21" s="42"/>
      <c r="J21" s="51">
        <f t="shared" si="0"/>
        <v>40</v>
      </c>
    </row>
    <row r="22" spans="1:10" ht="16" x14ac:dyDescent="0.8">
      <c r="A22" s="42" t="s">
        <v>383</v>
      </c>
      <c r="B22" s="42" t="s">
        <v>198</v>
      </c>
      <c r="C22" s="42" t="s">
        <v>385</v>
      </c>
      <c r="D22" s="42" t="s">
        <v>8</v>
      </c>
      <c r="E22" s="42" t="s">
        <v>384</v>
      </c>
      <c r="F22" s="52"/>
      <c r="G22" s="51">
        <v>125</v>
      </c>
      <c r="H22" s="51">
        <v>40</v>
      </c>
      <c r="I22" s="54"/>
      <c r="J22" s="51">
        <f t="shared" si="0"/>
        <v>165</v>
      </c>
    </row>
    <row r="23" spans="1:10" ht="16" x14ac:dyDescent="0.8">
      <c r="A23" s="42" t="s">
        <v>386</v>
      </c>
      <c r="B23" s="42" t="s">
        <v>220</v>
      </c>
      <c r="C23" s="42" t="s">
        <v>385</v>
      </c>
      <c r="D23" s="42" t="s">
        <v>32</v>
      </c>
      <c r="E23" s="42" t="s">
        <v>384</v>
      </c>
      <c r="F23" s="42"/>
      <c r="G23" s="51">
        <v>155</v>
      </c>
      <c r="H23" s="51">
        <v>40</v>
      </c>
      <c r="I23" s="51"/>
      <c r="J23" s="51">
        <f t="shared" si="0"/>
        <v>195</v>
      </c>
    </row>
    <row r="24" spans="1:10" ht="16" x14ac:dyDescent="0.8">
      <c r="A24" s="42" t="s">
        <v>386</v>
      </c>
      <c r="B24" s="42" t="s">
        <v>211</v>
      </c>
      <c r="C24" s="42" t="s">
        <v>7</v>
      </c>
      <c r="D24" s="42" t="s">
        <v>8</v>
      </c>
      <c r="E24" s="42" t="s">
        <v>384</v>
      </c>
      <c r="F24" s="42"/>
      <c r="G24" s="51">
        <v>125</v>
      </c>
      <c r="H24" s="51">
        <v>40</v>
      </c>
      <c r="I24" s="51"/>
      <c r="J24" s="51">
        <f>SUM(G24:I24)</f>
        <v>165</v>
      </c>
    </row>
    <row r="25" spans="1:10" ht="16" x14ac:dyDescent="0.8">
      <c r="A25" s="42" t="s">
        <v>386</v>
      </c>
      <c r="B25" s="42" t="s">
        <v>231</v>
      </c>
      <c r="C25" s="42" t="s">
        <v>7</v>
      </c>
      <c r="D25" s="42" t="s">
        <v>33</v>
      </c>
      <c r="E25" s="42"/>
      <c r="F25" s="42"/>
      <c r="G25" s="51">
        <v>85</v>
      </c>
      <c r="H25" s="51"/>
      <c r="I25" s="51"/>
      <c r="J25" s="51">
        <f t="shared" ref="J25:J42" si="1">SUM(G25:I25)</f>
        <v>85</v>
      </c>
    </row>
    <row r="26" spans="1:10" ht="16" x14ac:dyDescent="0.8">
      <c r="A26" s="42" t="s">
        <v>386</v>
      </c>
      <c r="B26" s="42" t="s">
        <v>209</v>
      </c>
      <c r="C26" s="42" t="s">
        <v>7</v>
      </c>
      <c r="D26" s="42" t="s">
        <v>8</v>
      </c>
      <c r="E26" s="42" t="s">
        <v>384</v>
      </c>
      <c r="F26" s="42"/>
      <c r="G26" s="51">
        <v>125</v>
      </c>
      <c r="H26" s="51">
        <v>40</v>
      </c>
      <c r="I26" s="51"/>
      <c r="J26" s="51">
        <f t="shared" si="1"/>
        <v>165</v>
      </c>
    </row>
    <row r="27" spans="1:10" ht="16" x14ac:dyDescent="0.8">
      <c r="A27" s="42" t="s">
        <v>386</v>
      </c>
      <c r="B27" s="42" t="s">
        <v>207</v>
      </c>
      <c r="C27" s="42" t="s">
        <v>7</v>
      </c>
      <c r="D27" s="42" t="s">
        <v>8</v>
      </c>
      <c r="E27" s="42" t="s">
        <v>384</v>
      </c>
      <c r="F27" s="42"/>
      <c r="G27" s="51">
        <v>125</v>
      </c>
      <c r="H27" s="51">
        <v>40</v>
      </c>
      <c r="I27" s="51"/>
      <c r="J27" s="51">
        <f t="shared" si="1"/>
        <v>165</v>
      </c>
    </row>
    <row r="28" spans="1:10" ht="16" x14ac:dyDescent="0.8">
      <c r="A28" s="42" t="s">
        <v>386</v>
      </c>
      <c r="B28" s="42" t="s">
        <v>202</v>
      </c>
      <c r="C28" s="42" t="s">
        <v>20</v>
      </c>
      <c r="D28" s="42" t="s">
        <v>33</v>
      </c>
      <c r="E28" s="42"/>
      <c r="F28" s="42"/>
      <c r="G28" s="51">
        <v>85</v>
      </c>
      <c r="H28" s="51"/>
      <c r="I28" s="51"/>
      <c r="J28" s="51">
        <f t="shared" si="1"/>
        <v>85</v>
      </c>
    </row>
    <row r="29" spans="1:10" ht="16" x14ac:dyDescent="0.8">
      <c r="A29" s="42" t="s">
        <v>386</v>
      </c>
      <c r="B29" s="42" t="s">
        <v>191</v>
      </c>
      <c r="C29" s="42" t="s">
        <v>20</v>
      </c>
      <c r="D29" s="42" t="s">
        <v>31</v>
      </c>
      <c r="E29" s="42"/>
      <c r="F29" s="42" t="s">
        <v>384</v>
      </c>
      <c r="G29" s="51">
        <v>125</v>
      </c>
      <c r="H29" s="51"/>
      <c r="I29" s="51">
        <v>40</v>
      </c>
      <c r="J29" s="51">
        <f t="shared" si="1"/>
        <v>165</v>
      </c>
    </row>
    <row r="30" spans="1:10" ht="16" x14ac:dyDescent="0.8">
      <c r="A30" s="42" t="s">
        <v>386</v>
      </c>
      <c r="B30" s="42" t="s">
        <v>201</v>
      </c>
      <c r="C30" s="42" t="s">
        <v>20</v>
      </c>
      <c r="D30" s="42" t="s">
        <v>33</v>
      </c>
      <c r="E30" s="42"/>
      <c r="F30" s="42"/>
      <c r="G30" s="51">
        <v>85</v>
      </c>
      <c r="H30" s="51"/>
      <c r="I30" s="51"/>
      <c r="J30" s="51">
        <f t="shared" si="1"/>
        <v>85</v>
      </c>
    </row>
    <row r="31" spans="1:10" ht="16" x14ac:dyDescent="0.8">
      <c r="A31" s="42" t="s">
        <v>386</v>
      </c>
      <c r="B31" s="42" t="s">
        <v>203</v>
      </c>
      <c r="C31" s="42" t="s">
        <v>20</v>
      </c>
      <c r="D31" s="42" t="s">
        <v>17</v>
      </c>
      <c r="E31" s="42"/>
      <c r="F31" s="42" t="s">
        <v>384</v>
      </c>
      <c r="G31" s="51">
        <v>105</v>
      </c>
      <c r="H31" s="51"/>
      <c r="I31" s="51">
        <v>40</v>
      </c>
      <c r="J31" s="51">
        <f t="shared" si="1"/>
        <v>145</v>
      </c>
    </row>
    <row r="32" spans="1:10" ht="16" x14ac:dyDescent="0.8">
      <c r="A32" s="42" t="s">
        <v>386</v>
      </c>
      <c r="B32" s="42" t="s">
        <v>233</v>
      </c>
      <c r="C32" s="42" t="s">
        <v>24</v>
      </c>
      <c r="D32" s="42" t="s">
        <v>31</v>
      </c>
      <c r="E32" s="42" t="s">
        <v>384</v>
      </c>
      <c r="F32" s="42"/>
      <c r="G32" s="51">
        <v>125</v>
      </c>
      <c r="H32" s="51">
        <v>40</v>
      </c>
      <c r="I32" s="51"/>
      <c r="J32" s="51">
        <f t="shared" si="1"/>
        <v>165</v>
      </c>
    </row>
    <row r="33" spans="1:10" ht="13.5" customHeight="1" x14ac:dyDescent="0.8">
      <c r="A33" s="42" t="s">
        <v>386</v>
      </c>
      <c r="B33" s="42" t="s">
        <v>245</v>
      </c>
      <c r="C33" s="42" t="s">
        <v>24</v>
      </c>
      <c r="D33" s="42" t="s">
        <v>15</v>
      </c>
      <c r="E33" s="42"/>
      <c r="F33" s="42"/>
      <c r="G33" s="51">
        <v>40</v>
      </c>
      <c r="H33" s="51"/>
      <c r="I33" s="51"/>
      <c r="J33" s="51">
        <f t="shared" si="1"/>
        <v>40</v>
      </c>
    </row>
    <row r="34" spans="1:10" ht="16" x14ac:dyDescent="0.8">
      <c r="A34" s="42" t="s">
        <v>386</v>
      </c>
      <c r="B34" s="42" t="s">
        <v>217</v>
      </c>
      <c r="C34" s="42" t="s">
        <v>24</v>
      </c>
      <c r="D34" s="42" t="s">
        <v>33</v>
      </c>
      <c r="E34" s="42"/>
      <c r="F34" s="42"/>
      <c r="G34" s="51">
        <v>85</v>
      </c>
      <c r="H34" s="51"/>
      <c r="I34" s="51"/>
      <c r="J34" s="51">
        <f t="shared" si="1"/>
        <v>85</v>
      </c>
    </row>
    <row r="35" spans="1:10" ht="16" x14ac:dyDescent="0.8">
      <c r="A35" s="42" t="s">
        <v>386</v>
      </c>
      <c r="B35" s="42" t="s">
        <v>200</v>
      </c>
      <c r="C35" s="42" t="s">
        <v>20</v>
      </c>
      <c r="D35" s="42" t="s">
        <v>8</v>
      </c>
      <c r="E35" s="42" t="s">
        <v>384</v>
      </c>
      <c r="F35" s="42"/>
      <c r="G35" s="51">
        <v>125</v>
      </c>
      <c r="H35" s="51">
        <v>40</v>
      </c>
      <c r="I35" s="51"/>
      <c r="J35" s="51">
        <f t="shared" si="1"/>
        <v>165</v>
      </c>
    </row>
    <row r="36" spans="1:10" ht="16" x14ac:dyDescent="0.8">
      <c r="A36" s="42" t="s">
        <v>386</v>
      </c>
      <c r="B36" s="42" t="s">
        <v>224</v>
      </c>
      <c r="C36" s="42" t="s">
        <v>24</v>
      </c>
      <c r="D36" s="42" t="s">
        <v>15</v>
      </c>
      <c r="E36" s="42"/>
      <c r="F36" s="42"/>
      <c r="G36" s="51">
        <v>40</v>
      </c>
      <c r="H36" s="51"/>
      <c r="I36" s="51"/>
      <c r="J36" s="51">
        <f t="shared" si="1"/>
        <v>40</v>
      </c>
    </row>
    <row r="37" spans="1:10" ht="16" x14ac:dyDescent="0.8">
      <c r="A37" s="42" t="s">
        <v>386</v>
      </c>
      <c r="B37" s="42" t="s">
        <v>219</v>
      </c>
      <c r="C37" s="42" t="s">
        <v>24</v>
      </c>
      <c r="D37" s="42" t="s">
        <v>8</v>
      </c>
      <c r="E37" s="42"/>
      <c r="F37" s="42"/>
      <c r="G37" s="51">
        <v>125</v>
      </c>
      <c r="H37" s="51"/>
      <c r="I37" s="51"/>
      <c r="J37" s="51">
        <f t="shared" si="1"/>
        <v>125</v>
      </c>
    </row>
    <row r="38" spans="1:10" ht="16" x14ac:dyDescent="0.8">
      <c r="A38" s="42" t="s">
        <v>386</v>
      </c>
      <c r="B38" s="42" t="s">
        <v>251</v>
      </c>
      <c r="C38" s="42" t="s">
        <v>20</v>
      </c>
      <c r="D38" s="42" t="s">
        <v>8</v>
      </c>
      <c r="E38" s="42" t="s">
        <v>384</v>
      </c>
      <c r="F38" s="42"/>
      <c r="G38" s="51">
        <v>125</v>
      </c>
      <c r="H38" s="51">
        <v>40</v>
      </c>
      <c r="I38" s="51"/>
      <c r="J38" s="51">
        <f t="shared" si="1"/>
        <v>165</v>
      </c>
    </row>
    <row r="39" spans="1:10" s="108" customFormat="1" ht="16" x14ac:dyDescent="0.8">
      <c r="A39" s="52" t="s">
        <v>386</v>
      </c>
      <c r="B39" s="52" t="s">
        <v>212</v>
      </c>
      <c r="C39" s="52" t="s">
        <v>385</v>
      </c>
      <c r="D39" s="107" t="s">
        <v>30</v>
      </c>
      <c r="E39" s="52"/>
      <c r="F39" s="52"/>
      <c r="G39" s="54">
        <v>185</v>
      </c>
      <c r="H39" s="54"/>
      <c r="I39" s="54"/>
      <c r="J39" s="54">
        <f t="shared" si="1"/>
        <v>185</v>
      </c>
    </row>
    <row r="40" spans="1:10" ht="16" x14ac:dyDescent="0.8">
      <c r="A40" s="42" t="s">
        <v>386</v>
      </c>
      <c r="B40" s="42" t="s">
        <v>196</v>
      </c>
      <c r="C40" s="42" t="s">
        <v>385</v>
      </c>
      <c r="D40" s="42" t="s">
        <v>17</v>
      </c>
      <c r="E40" s="42"/>
      <c r="F40" s="42" t="s">
        <v>384</v>
      </c>
      <c r="G40" s="51">
        <v>105</v>
      </c>
      <c r="H40" s="51"/>
      <c r="I40" s="51">
        <v>40</v>
      </c>
      <c r="J40" s="51">
        <f t="shared" si="1"/>
        <v>145</v>
      </c>
    </row>
    <row r="41" spans="1:10" ht="16" x14ac:dyDescent="0.8">
      <c r="A41" s="42" t="s">
        <v>386</v>
      </c>
      <c r="B41" s="42" t="s">
        <v>213</v>
      </c>
      <c r="C41" s="42" t="s">
        <v>385</v>
      </c>
      <c r="D41" s="42" t="s">
        <v>8</v>
      </c>
      <c r="E41" s="42" t="s">
        <v>384</v>
      </c>
      <c r="F41" s="42" t="s">
        <v>21</v>
      </c>
      <c r="G41" s="51">
        <v>125</v>
      </c>
      <c r="H41" s="51">
        <v>40</v>
      </c>
      <c r="I41" s="51">
        <v>45</v>
      </c>
      <c r="J41" s="51">
        <f t="shared" si="1"/>
        <v>210</v>
      </c>
    </row>
    <row r="42" spans="1:10" ht="16" x14ac:dyDescent="0.8">
      <c r="A42" s="42" t="s">
        <v>386</v>
      </c>
      <c r="B42" s="42" t="s">
        <v>228</v>
      </c>
      <c r="C42" s="42" t="s">
        <v>385</v>
      </c>
      <c r="D42" s="42" t="s">
        <v>17</v>
      </c>
      <c r="E42" s="42"/>
      <c r="F42" s="42"/>
      <c r="G42" s="51">
        <v>105</v>
      </c>
      <c r="H42" s="51"/>
      <c r="I42" s="51"/>
      <c r="J42" s="51">
        <f t="shared" si="1"/>
        <v>105</v>
      </c>
    </row>
    <row r="43" spans="1:10" ht="16" x14ac:dyDescent="0.8">
      <c r="A43" s="42" t="s">
        <v>388</v>
      </c>
      <c r="B43" s="42" t="s">
        <v>259</v>
      </c>
      <c r="C43" s="42" t="s">
        <v>20</v>
      </c>
      <c r="D43" s="42" t="s">
        <v>8</v>
      </c>
      <c r="E43" s="42"/>
      <c r="F43" s="42"/>
      <c r="G43" s="51">
        <v>125</v>
      </c>
      <c r="H43" s="51"/>
      <c r="I43" s="51"/>
      <c r="J43" s="51">
        <f>SUM(G43:I43)</f>
        <v>125</v>
      </c>
    </row>
    <row r="44" spans="1:10" s="108" customFormat="1" ht="16" x14ac:dyDescent="0.8">
      <c r="A44" s="52" t="s">
        <v>388</v>
      </c>
      <c r="B44" s="52" t="s">
        <v>261</v>
      </c>
      <c r="C44" s="52" t="s">
        <v>385</v>
      </c>
      <c r="D44" s="107" t="s">
        <v>30</v>
      </c>
      <c r="E44" s="52" t="s">
        <v>384</v>
      </c>
      <c r="F44" s="52"/>
      <c r="G44" s="54">
        <v>185</v>
      </c>
      <c r="H44" s="54">
        <v>40</v>
      </c>
      <c r="I44" s="54"/>
      <c r="J44" s="54">
        <f t="shared" ref="J44:J53" si="2">SUM(G44:I44)</f>
        <v>225</v>
      </c>
    </row>
    <row r="45" spans="1:10" ht="16" x14ac:dyDescent="0.8">
      <c r="A45" s="42" t="s">
        <v>388</v>
      </c>
      <c r="B45" s="42" t="s">
        <v>204</v>
      </c>
      <c r="C45" s="42" t="s">
        <v>24</v>
      </c>
      <c r="D45" s="42" t="s">
        <v>17</v>
      </c>
      <c r="E45" s="42" t="s">
        <v>384</v>
      </c>
      <c r="F45" s="42"/>
      <c r="G45" s="51">
        <v>105</v>
      </c>
      <c r="H45" s="51">
        <v>40</v>
      </c>
      <c r="I45" s="51"/>
      <c r="J45" s="51">
        <f t="shared" si="2"/>
        <v>145</v>
      </c>
    </row>
    <row r="46" spans="1:10" ht="16" x14ac:dyDescent="0.8">
      <c r="A46" s="42" t="s">
        <v>388</v>
      </c>
      <c r="B46" s="42" t="s">
        <v>232</v>
      </c>
      <c r="C46" s="42" t="s">
        <v>20</v>
      </c>
      <c r="D46" s="42" t="s">
        <v>8</v>
      </c>
      <c r="E46" s="42" t="s">
        <v>384</v>
      </c>
      <c r="F46" s="42"/>
      <c r="G46" s="51">
        <v>125</v>
      </c>
      <c r="H46" s="51">
        <v>40</v>
      </c>
      <c r="I46" s="51"/>
      <c r="J46" s="51">
        <f t="shared" si="2"/>
        <v>165</v>
      </c>
    </row>
    <row r="47" spans="1:10" ht="16" x14ac:dyDescent="0.8">
      <c r="A47" s="42" t="s">
        <v>388</v>
      </c>
      <c r="B47" s="42" t="s">
        <v>244</v>
      </c>
      <c r="C47" s="42" t="s">
        <v>24</v>
      </c>
      <c r="D47" s="42" t="s">
        <v>8</v>
      </c>
      <c r="E47" s="42"/>
      <c r="F47" s="42"/>
      <c r="G47" s="51">
        <v>125</v>
      </c>
      <c r="H47" s="51"/>
      <c r="I47" s="51"/>
      <c r="J47" s="51">
        <f t="shared" si="2"/>
        <v>125</v>
      </c>
    </row>
    <row r="48" spans="1:10" ht="16" x14ac:dyDescent="0.8">
      <c r="A48" s="42" t="s">
        <v>388</v>
      </c>
      <c r="B48" s="42" t="s">
        <v>222</v>
      </c>
      <c r="C48" s="42" t="s">
        <v>20</v>
      </c>
      <c r="D48" s="42" t="s">
        <v>8</v>
      </c>
      <c r="E48" s="42" t="s">
        <v>21</v>
      </c>
      <c r="F48" s="42" t="s">
        <v>384</v>
      </c>
      <c r="G48" s="51">
        <v>125</v>
      </c>
      <c r="H48" s="51">
        <v>45</v>
      </c>
      <c r="I48" s="51">
        <v>40</v>
      </c>
      <c r="J48" s="51">
        <f t="shared" si="2"/>
        <v>210</v>
      </c>
    </row>
    <row r="49" spans="1:10" ht="16" x14ac:dyDescent="0.8">
      <c r="A49" s="42" t="s">
        <v>388</v>
      </c>
      <c r="B49" s="42" t="s">
        <v>239</v>
      </c>
      <c r="C49" s="42" t="s">
        <v>24</v>
      </c>
      <c r="D49" s="42" t="s">
        <v>8</v>
      </c>
      <c r="E49" s="42"/>
      <c r="F49" s="42"/>
      <c r="G49" s="51">
        <v>125</v>
      </c>
      <c r="H49" s="51"/>
      <c r="I49" s="51"/>
      <c r="J49" s="51">
        <f t="shared" si="2"/>
        <v>125</v>
      </c>
    </row>
    <row r="50" spans="1:10" ht="16" x14ac:dyDescent="0.8">
      <c r="A50" s="42" t="s">
        <v>388</v>
      </c>
      <c r="B50" s="42" t="s">
        <v>236</v>
      </c>
      <c r="C50" s="42" t="s">
        <v>20</v>
      </c>
      <c r="D50" s="42" t="s">
        <v>8</v>
      </c>
      <c r="E50" s="42" t="s">
        <v>384</v>
      </c>
      <c r="F50" s="42"/>
      <c r="G50" s="51">
        <v>125</v>
      </c>
      <c r="H50" s="51">
        <v>40</v>
      </c>
      <c r="I50" s="51"/>
      <c r="J50" s="51">
        <f t="shared" si="2"/>
        <v>165</v>
      </c>
    </row>
    <row r="51" spans="1:10" ht="16" x14ac:dyDescent="0.8">
      <c r="A51" s="42" t="s">
        <v>388</v>
      </c>
      <c r="B51" s="42" t="s">
        <v>235</v>
      </c>
      <c r="C51" s="42" t="s">
        <v>24</v>
      </c>
      <c r="D51" s="42" t="s">
        <v>8</v>
      </c>
      <c r="E51" s="42" t="s">
        <v>384</v>
      </c>
      <c r="F51" s="42"/>
      <c r="G51" s="51">
        <v>125</v>
      </c>
      <c r="H51" s="51">
        <v>40</v>
      </c>
      <c r="I51" s="51"/>
      <c r="J51" s="51">
        <f t="shared" si="2"/>
        <v>165</v>
      </c>
    </row>
    <row r="52" spans="1:10" ht="16" x14ac:dyDescent="0.8">
      <c r="A52" s="42" t="s">
        <v>388</v>
      </c>
      <c r="B52" s="42" t="s">
        <v>218</v>
      </c>
      <c r="C52" s="42" t="s">
        <v>385</v>
      </c>
      <c r="D52" s="42" t="s">
        <v>15</v>
      </c>
      <c r="E52" s="42"/>
      <c r="F52" s="42"/>
      <c r="G52" s="51">
        <v>40</v>
      </c>
      <c r="H52" s="51"/>
      <c r="I52" s="51"/>
      <c r="J52" s="51">
        <f t="shared" si="2"/>
        <v>40</v>
      </c>
    </row>
    <row r="53" spans="1:10" ht="16" x14ac:dyDescent="0.8">
      <c r="A53" s="42" t="s">
        <v>388</v>
      </c>
      <c r="B53" s="42" t="s">
        <v>177</v>
      </c>
      <c r="C53" s="42" t="s">
        <v>385</v>
      </c>
      <c r="D53" s="42" t="s">
        <v>15</v>
      </c>
      <c r="E53" s="42"/>
      <c r="F53" s="42"/>
      <c r="G53" s="51">
        <v>40</v>
      </c>
      <c r="H53" s="51"/>
      <c r="I53" s="51"/>
      <c r="J53" s="51">
        <f t="shared" si="2"/>
        <v>40</v>
      </c>
    </row>
    <row r="54" spans="1:10" ht="16" x14ac:dyDescent="0.8">
      <c r="A54" s="42" t="s">
        <v>389</v>
      </c>
      <c r="B54" s="42" t="s">
        <v>264</v>
      </c>
      <c r="C54" s="42" t="s">
        <v>20</v>
      </c>
      <c r="D54" s="42" t="s">
        <v>33</v>
      </c>
      <c r="E54" s="42"/>
      <c r="F54" s="42"/>
      <c r="G54" s="51">
        <v>85</v>
      </c>
      <c r="H54" s="51"/>
      <c r="I54" s="51"/>
      <c r="J54" s="51">
        <f>SUM(G54:I54)</f>
        <v>85</v>
      </c>
    </row>
    <row r="55" spans="1:10" ht="16" x14ac:dyDescent="0.8">
      <c r="A55" s="42" t="s">
        <v>389</v>
      </c>
      <c r="B55" s="42" t="s">
        <v>258</v>
      </c>
      <c r="C55" s="42" t="s">
        <v>20</v>
      </c>
      <c r="D55" s="42" t="s">
        <v>33</v>
      </c>
      <c r="E55" s="42"/>
      <c r="F55" s="42"/>
      <c r="G55" s="51">
        <v>85</v>
      </c>
      <c r="H55" s="51"/>
      <c r="I55" s="51"/>
      <c r="J55" s="51">
        <f t="shared" ref="J55:J66" si="3">SUM(G55:I55)</f>
        <v>85</v>
      </c>
    </row>
    <row r="56" spans="1:10" ht="16" x14ac:dyDescent="0.8">
      <c r="A56" s="42" t="s">
        <v>389</v>
      </c>
      <c r="B56" s="42" t="s">
        <v>240</v>
      </c>
      <c r="C56" s="42" t="s">
        <v>24</v>
      </c>
      <c r="D56" s="42" t="s">
        <v>8</v>
      </c>
      <c r="E56" s="42"/>
      <c r="F56" s="42"/>
      <c r="G56" s="51">
        <v>125</v>
      </c>
      <c r="H56" s="51"/>
      <c r="I56" s="51"/>
      <c r="J56" s="51">
        <f t="shared" si="3"/>
        <v>125</v>
      </c>
    </row>
    <row r="57" spans="1:10" ht="16" x14ac:dyDescent="0.8">
      <c r="A57" s="42" t="s">
        <v>389</v>
      </c>
      <c r="B57" s="42" t="s">
        <v>215</v>
      </c>
      <c r="C57" s="42" t="s">
        <v>20</v>
      </c>
      <c r="D57" s="42" t="s">
        <v>33</v>
      </c>
      <c r="E57" s="42"/>
      <c r="F57" s="42" t="s">
        <v>384</v>
      </c>
      <c r="G57" s="51">
        <v>85</v>
      </c>
      <c r="H57" s="51"/>
      <c r="I57" s="51">
        <v>40</v>
      </c>
      <c r="J57" s="51">
        <f t="shared" si="3"/>
        <v>125</v>
      </c>
    </row>
    <row r="58" spans="1:10" ht="16" x14ac:dyDescent="0.8">
      <c r="A58" s="42" t="s">
        <v>389</v>
      </c>
      <c r="B58" s="42" t="s">
        <v>197</v>
      </c>
      <c r="C58" s="42" t="s">
        <v>385</v>
      </c>
      <c r="D58" s="42" t="s">
        <v>32</v>
      </c>
      <c r="E58" s="42"/>
      <c r="F58" s="42" t="s">
        <v>384</v>
      </c>
      <c r="G58" s="51">
        <v>155</v>
      </c>
      <c r="H58" s="51"/>
      <c r="I58" s="51">
        <v>40</v>
      </c>
      <c r="J58" s="51">
        <f t="shared" si="3"/>
        <v>195</v>
      </c>
    </row>
    <row r="59" spans="1:10" ht="16" x14ac:dyDescent="0.8">
      <c r="A59" s="42" t="s">
        <v>389</v>
      </c>
      <c r="B59" s="52" t="s">
        <v>252</v>
      </c>
      <c r="C59" s="42" t="s">
        <v>7</v>
      </c>
      <c r="D59" s="42" t="s">
        <v>8</v>
      </c>
      <c r="E59" s="42"/>
      <c r="F59" s="42"/>
      <c r="G59" s="51">
        <v>125</v>
      </c>
      <c r="H59" s="51"/>
      <c r="I59" s="51"/>
      <c r="J59" s="51">
        <f t="shared" si="3"/>
        <v>125</v>
      </c>
    </row>
    <row r="60" spans="1:10" ht="16" x14ac:dyDescent="0.8">
      <c r="A60" s="42" t="s">
        <v>389</v>
      </c>
      <c r="B60" s="42" t="s">
        <v>256</v>
      </c>
      <c r="C60" s="42" t="s">
        <v>7</v>
      </c>
      <c r="D60" s="42" t="s">
        <v>32</v>
      </c>
      <c r="E60" s="42" t="s">
        <v>384</v>
      </c>
      <c r="F60" s="42"/>
      <c r="G60" s="51">
        <v>155</v>
      </c>
      <c r="H60" s="51">
        <v>40</v>
      </c>
      <c r="I60" s="51"/>
      <c r="J60" s="51">
        <f t="shared" si="3"/>
        <v>195</v>
      </c>
    </row>
    <row r="61" spans="1:10" ht="16" x14ac:dyDescent="0.8">
      <c r="A61" s="42" t="s">
        <v>389</v>
      </c>
      <c r="B61" s="42" t="s">
        <v>254</v>
      </c>
      <c r="C61" s="42" t="s">
        <v>24</v>
      </c>
      <c r="D61" s="42" t="s">
        <v>8</v>
      </c>
      <c r="E61" s="42" t="s">
        <v>384</v>
      </c>
      <c r="F61" s="42"/>
      <c r="G61" s="51">
        <v>125</v>
      </c>
      <c r="H61" s="51">
        <v>40</v>
      </c>
      <c r="I61" s="51"/>
      <c r="J61" s="51">
        <f t="shared" si="3"/>
        <v>165</v>
      </c>
    </row>
    <row r="62" spans="1:10" ht="16" x14ac:dyDescent="0.8">
      <c r="A62" s="42" t="s">
        <v>389</v>
      </c>
      <c r="B62" s="42" t="s">
        <v>262</v>
      </c>
      <c r="C62" s="42" t="s">
        <v>20</v>
      </c>
      <c r="D62" s="42" t="s">
        <v>8</v>
      </c>
      <c r="E62" s="42"/>
      <c r="F62" s="42"/>
      <c r="G62" s="51">
        <v>125</v>
      </c>
      <c r="H62" s="51"/>
      <c r="I62" s="51"/>
      <c r="J62" s="51">
        <f t="shared" si="3"/>
        <v>125</v>
      </c>
    </row>
    <row r="63" spans="1:10" ht="16" x14ac:dyDescent="0.8">
      <c r="A63" s="42" t="s">
        <v>389</v>
      </c>
      <c r="B63" s="42" t="s">
        <v>225</v>
      </c>
      <c r="C63" s="42" t="s">
        <v>385</v>
      </c>
      <c r="D63" s="42" t="s">
        <v>30</v>
      </c>
      <c r="E63" s="42"/>
      <c r="F63" s="42" t="s">
        <v>384</v>
      </c>
      <c r="G63" s="51">
        <v>185</v>
      </c>
      <c r="H63" s="51"/>
      <c r="I63" s="51">
        <v>40</v>
      </c>
      <c r="J63" s="51">
        <f t="shared" si="3"/>
        <v>225</v>
      </c>
    </row>
    <row r="64" spans="1:10" ht="16" x14ac:dyDescent="0.8">
      <c r="A64" s="42" t="s">
        <v>389</v>
      </c>
      <c r="B64" s="42" t="s">
        <v>234</v>
      </c>
      <c r="C64" s="42" t="s">
        <v>24</v>
      </c>
      <c r="D64" s="42" t="s">
        <v>33</v>
      </c>
      <c r="E64" s="42" t="s">
        <v>384</v>
      </c>
      <c r="F64" s="42"/>
      <c r="G64" s="51">
        <v>85</v>
      </c>
      <c r="H64" s="51">
        <v>40</v>
      </c>
      <c r="I64" s="51"/>
      <c r="J64" s="51">
        <f t="shared" si="3"/>
        <v>125</v>
      </c>
    </row>
    <row r="65" spans="1:10" ht="16" x14ac:dyDescent="0.8">
      <c r="A65" s="42" t="s">
        <v>389</v>
      </c>
      <c r="B65" s="42" t="s">
        <v>255</v>
      </c>
      <c r="C65" s="42" t="s">
        <v>20</v>
      </c>
      <c r="D65" s="42" t="s">
        <v>8</v>
      </c>
      <c r="E65" s="42"/>
      <c r="F65" s="42" t="s">
        <v>384</v>
      </c>
      <c r="G65" s="51">
        <v>125</v>
      </c>
      <c r="H65" s="51"/>
      <c r="I65" s="51">
        <v>40</v>
      </c>
      <c r="J65" s="51">
        <f t="shared" si="3"/>
        <v>165</v>
      </c>
    </row>
    <row r="66" spans="1:10" ht="16" x14ac:dyDescent="0.8">
      <c r="A66" s="42" t="s">
        <v>389</v>
      </c>
      <c r="B66" s="42" t="s">
        <v>249</v>
      </c>
      <c r="C66" s="42" t="s">
        <v>24</v>
      </c>
      <c r="D66" s="42" t="s">
        <v>15</v>
      </c>
      <c r="E66" s="42"/>
      <c r="F66" s="42"/>
      <c r="G66" s="51">
        <v>40</v>
      </c>
      <c r="H66" s="51"/>
      <c r="I66" s="51"/>
      <c r="J66" s="51">
        <f t="shared" si="3"/>
        <v>40</v>
      </c>
    </row>
    <row r="67" spans="1:10" ht="16" x14ac:dyDescent="0.8">
      <c r="A67" s="42" t="s">
        <v>390</v>
      </c>
      <c r="B67" s="52" t="s">
        <v>243</v>
      </c>
      <c r="C67" s="42" t="s">
        <v>7</v>
      </c>
      <c r="D67" s="42" t="s">
        <v>8</v>
      </c>
      <c r="E67" s="42" t="s">
        <v>384</v>
      </c>
      <c r="F67" s="42"/>
      <c r="G67" s="51">
        <v>125</v>
      </c>
      <c r="H67" s="51">
        <v>40</v>
      </c>
      <c r="I67" s="51"/>
      <c r="J67" s="51">
        <f>SUM(G67:I67)</f>
        <v>165</v>
      </c>
    </row>
    <row r="68" spans="1:10" ht="16" x14ac:dyDescent="0.8">
      <c r="A68" s="42" t="s">
        <v>390</v>
      </c>
      <c r="B68" s="52" t="s">
        <v>237</v>
      </c>
      <c r="C68" s="42" t="s">
        <v>7</v>
      </c>
      <c r="D68" s="42" t="s">
        <v>8</v>
      </c>
      <c r="E68" s="42" t="s">
        <v>384</v>
      </c>
      <c r="F68" s="42"/>
      <c r="G68" s="51">
        <v>125</v>
      </c>
      <c r="H68" s="51">
        <v>40</v>
      </c>
      <c r="I68" s="54"/>
      <c r="J68" s="51">
        <f t="shared" ref="J68:J85" si="4">SUM(G68:I68)</f>
        <v>165</v>
      </c>
    </row>
    <row r="69" spans="1:10" ht="16" x14ac:dyDescent="0.8">
      <c r="A69" s="42" t="s">
        <v>390</v>
      </c>
      <c r="B69" s="52" t="s">
        <v>246</v>
      </c>
      <c r="C69" s="42" t="s">
        <v>7</v>
      </c>
      <c r="D69" s="42" t="s">
        <v>8</v>
      </c>
      <c r="E69" s="42"/>
      <c r="F69" s="42"/>
      <c r="G69" s="51">
        <v>125</v>
      </c>
      <c r="H69" s="51"/>
      <c r="I69" s="54"/>
      <c r="J69" s="51">
        <f t="shared" si="4"/>
        <v>125</v>
      </c>
    </row>
    <row r="70" spans="1:10" ht="16" x14ac:dyDescent="0.8">
      <c r="A70" s="42" t="s">
        <v>390</v>
      </c>
      <c r="B70" s="52" t="s">
        <v>260</v>
      </c>
      <c r="C70" s="42" t="s">
        <v>7</v>
      </c>
      <c r="D70" s="42" t="s">
        <v>8</v>
      </c>
      <c r="E70" s="42" t="s">
        <v>384</v>
      </c>
      <c r="F70" s="42"/>
      <c r="G70" s="51">
        <v>125</v>
      </c>
      <c r="H70" s="51">
        <v>40</v>
      </c>
      <c r="I70" s="51"/>
      <c r="J70" s="51">
        <f t="shared" si="4"/>
        <v>165</v>
      </c>
    </row>
    <row r="71" spans="1:10" ht="16" x14ac:dyDescent="0.8">
      <c r="A71" s="42" t="s">
        <v>390</v>
      </c>
      <c r="B71" s="52" t="s">
        <v>230</v>
      </c>
      <c r="C71" s="42" t="s">
        <v>20</v>
      </c>
      <c r="D71" s="42" t="s">
        <v>17</v>
      </c>
      <c r="E71" s="42" t="s">
        <v>384</v>
      </c>
      <c r="F71" s="42"/>
      <c r="G71" s="51">
        <v>105</v>
      </c>
      <c r="H71" s="51"/>
      <c r="I71" s="51">
        <v>40</v>
      </c>
      <c r="J71" s="51">
        <f t="shared" si="4"/>
        <v>145</v>
      </c>
    </row>
    <row r="72" spans="1:10" ht="16" x14ac:dyDescent="0.8">
      <c r="A72" s="42" t="s">
        <v>390</v>
      </c>
      <c r="B72" s="52" t="s">
        <v>229</v>
      </c>
      <c r="C72" s="42" t="s">
        <v>20</v>
      </c>
      <c r="D72" s="42" t="s">
        <v>33</v>
      </c>
      <c r="E72" s="42"/>
      <c r="F72" s="42"/>
      <c r="G72" s="51">
        <v>85</v>
      </c>
      <c r="H72" s="51"/>
      <c r="I72" s="51"/>
      <c r="J72" s="51">
        <f t="shared" si="4"/>
        <v>85</v>
      </c>
    </row>
    <row r="73" spans="1:10" ht="16" x14ac:dyDescent="0.8">
      <c r="A73" s="42" t="s">
        <v>390</v>
      </c>
      <c r="B73" s="52" t="s">
        <v>242</v>
      </c>
      <c r="C73" s="42" t="s">
        <v>385</v>
      </c>
      <c r="D73" s="42" t="s">
        <v>8</v>
      </c>
      <c r="E73" s="42" t="s">
        <v>384</v>
      </c>
      <c r="F73" s="42"/>
      <c r="G73" s="51">
        <v>125</v>
      </c>
      <c r="H73" s="51"/>
      <c r="I73" s="51">
        <v>40</v>
      </c>
      <c r="J73" s="51">
        <f t="shared" si="4"/>
        <v>165</v>
      </c>
    </row>
    <row r="74" spans="1:10" ht="16" x14ac:dyDescent="0.8">
      <c r="A74" s="42" t="s">
        <v>390</v>
      </c>
      <c r="B74" s="52" t="s">
        <v>250</v>
      </c>
      <c r="C74" s="42" t="s">
        <v>24</v>
      </c>
      <c r="D74" s="42" t="s">
        <v>8</v>
      </c>
      <c r="E74" s="42" t="s">
        <v>384</v>
      </c>
      <c r="F74" s="42"/>
      <c r="G74" s="51">
        <v>125</v>
      </c>
      <c r="H74" s="51">
        <v>40</v>
      </c>
      <c r="I74" s="51"/>
      <c r="J74" s="51">
        <f t="shared" si="4"/>
        <v>165</v>
      </c>
    </row>
    <row r="75" spans="1:10" ht="16" x14ac:dyDescent="0.8">
      <c r="A75" s="42" t="s">
        <v>390</v>
      </c>
      <c r="B75" s="52" t="s">
        <v>265</v>
      </c>
      <c r="C75" s="42" t="s">
        <v>20</v>
      </c>
      <c r="D75" s="42" t="s">
        <v>33</v>
      </c>
      <c r="E75" s="42"/>
      <c r="F75" s="42"/>
      <c r="G75" s="51">
        <v>85</v>
      </c>
      <c r="H75" s="51"/>
      <c r="I75" s="51"/>
      <c r="J75" s="51">
        <f t="shared" si="4"/>
        <v>85</v>
      </c>
    </row>
    <row r="76" spans="1:10" ht="16" x14ac:dyDescent="0.8">
      <c r="A76" s="42" t="s">
        <v>390</v>
      </c>
      <c r="B76" s="52" t="s">
        <v>268</v>
      </c>
      <c r="C76" s="42" t="s">
        <v>20</v>
      </c>
      <c r="D76" s="42" t="s">
        <v>33</v>
      </c>
      <c r="E76" s="42"/>
      <c r="F76" s="42"/>
      <c r="G76" s="51">
        <v>85</v>
      </c>
      <c r="H76" s="51"/>
      <c r="I76" s="51"/>
      <c r="J76" s="51">
        <f t="shared" si="4"/>
        <v>85</v>
      </c>
    </row>
    <row r="77" spans="1:10" ht="16" x14ac:dyDescent="0.8">
      <c r="A77" s="42" t="s">
        <v>390</v>
      </c>
      <c r="B77" s="52" t="s">
        <v>266</v>
      </c>
      <c r="C77" s="42" t="s">
        <v>20</v>
      </c>
      <c r="D77" s="42" t="s">
        <v>33</v>
      </c>
      <c r="E77" s="42"/>
      <c r="F77" s="42"/>
      <c r="G77" s="51">
        <v>85</v>
      </c>
      <c r="H77" s="51"/>
      <c r="I77" s="51"/>
      <c r="J77" s="51">
        <f t="shared" si="4"/>
        <v>85</v>
      </c>
    </row>
    <row r="78" spans="1:10" ht="16" x14ac:dyDescent="0.8">
      <c r="A78" s="42" t="s">
        <v>390</v>
      </c>
      <c r="B78" s="52" t="s">
        <v>223</v>
      </c>
      <c r="C78" s="42" t="s">
        <v>24</v>
      </c>
      <c r="D78" s="42" t="s">
        <v>8</v>
      </c>
      <c r="E78" s="42"/>
      <c r="F78" s="42"/>
      <c r="G78" s="51">
        <v>125</v>
      </c>
      <c r="H78" s="51"/>
      <c r="I78" s="51"/>
      <c r="J78" s="51">
        <f t="shared" si="4"/>
        <v>125</v>
      </c>
    </row>
    <row r="79" spans="1:10" s="108" customFormat="1" ht="16" x14ac:dyDescent="0.8">
      <c r="A79" s="52" t="s">
        <v>390</v>
      </c>
      <c r="B79" s="52" t="s">
        <v>193</v>
      </c>
      <c r="C79" s="52" t="s">
        <v>385</v>
      </c>
      <c r="D79" s="52" t="s">
        <v>31</v>
      </c>
      <c r="E79" s="52" t="s">
        <v>384</v>
      </c>
      <c r="F79" s="52"/>
      <c r="G79" s="54">
        <v>125</v>
      </c>
      <c r="H79" s="54">
        <v>40</v>
      </c>
      <c r="I79" s="54"/>
      <c r="J79" s="54">
        <f t="shared" si="4"/>
        <v>165</v>
      </c>
    </row>
    <row r="80" spans="1:10" ht="16" x14ac:dyDescent="0.8">
      <c r="A80" s="42" t="s">
        <v>390</v>
      </c>
      <c r="B80" s="52" t="s">
        <v>247</v>
      </c>
      <c r="C80" s="42" t="s">
        <v>24</v>
      </c>
      <c r="D80" s="42" t="s">
        <v>32</v>
      </c>
      <c r="E80" s="42" t="s">
        <v>384</v>
      </c>
      <c r="F80" s="42" t="s">
        <v>21</v>
      </c>
      <c r="G80" s="51">
        <v>155</v>
      </c>
      <c r="H80" s="51">
        <v>40</v>
      </c>
      <c r="I80" s="51">
        <v>45</v>
      </c>
      <c r="J80" s="51">
        <f t="shared" si="4"/>
        <v>240</v>
      </c>
    </row>
    <row r="81" spans="1:10" ht="16" x14ac:dyDescent="0.8">
      <c r="A81" s="42" t="s">
        <v>390</v>
      </c>
      <c r="B81" s="52" t="s">
        <v>267</v>
      </c>
      <c r="C81" s="42" t="s">
        <v>20</v>
      </c>
      <c r="D81" s="42" t="s">
        <v>8</v>
      </c>
      <c r="E81" s="42" t="s">
        <v>384</v>
      </c>
      <c r="F81" s="42"/>
      <c r="G81" s="51">
        <v>125</v>
      </c>
      <c r="H81" s="51"/>
      <c r="I81" s="51">
        <v>40</v>
      </c>
      <c r="J81" s="51">
        <f t="shared" si="4"/>
        <v>165</v>
      </c>
    </row>
    <row r="82" spans="1:10" ht="16" x14ac:dyDescent="0.8">
      <c r="A82" s="42" t="s">
        <v>390</v>
      </c>
      <c r="B82" s="52" t="s">
        <v>194</v>
      </c>
      <c r="C82" s="42" t="s">
        <v>385</v>
      </c>
      <c r="D82" s="42" t="s">
        <v>33</v>
      </c>
      <c r="E82" s="42" t="s">
        <v>384</v>
      </c>
      <c r="F82" s="42"/>
      <c r="G82" s="51">
        <v>85</v>
      </c>
      <c r="H82" s="51"/>
      <c r="I82" s="51">
        <v>40</v>
      </c>
      <c r="J82" s="51">
        <f t="shared" si="4"/>
        <v>125</v>
      </c>
    </row>
    <row r="83" spans="1:10" ht="16" x14ac:dyDescent="0.8">
      <c r="A83" s="42" t="s">
        <v>390</v>
      </c>
      <c r="B83" s="52" t="s">
        <v>248</v>
      </c>
      <c r="C83" s="42" t="s">
        <v>20</v>
      </c>
      <c r="D83" s="42" t="s">
        <v>8</v>
      </c>
      <c r="E83" s="42" t="s">
        <v>384</v>
      </c>
      <c r="F83" s="42"/>
      <c r="G83" s="51">
        <v>125</v>
      </c>
      <c r="H83" s="51"/>
      <c r="I83" s="51">
        <v>40</v>
      </c>
      <c r="J83" s="51">
        <f t="shared" si="4"/>
        <v>165</v>
      </c>
    </row>
    <row r="84" spans="1:10" ht="16" x14ac:dyDescent="0.8">
      <c r="A84" s="42" t="s">
        <v>390</v>
      </c>
      <c r="B84" s="52" t="s">
        <v>253</v>
      </c>
      <c r="C84" s="42" t="s">
        <v>24</v>
      </c>
      <c r="D84" s="42" t="s">
        <v>33</v>
      </c>
      <c r="E84" s="42" t="s">
        <v>384</v>
      </c>
      <c r="F84" s="42"/>
      <c r="G84" s="51">
        <v>85</v>
      </c>
      <c r="H84" s="51">
        <v>40</v>
      </c>
      <c r="I84" s="51"/>
      <c r="J84" s="51">
        <f t="shared" si="4"/>
        <v>125</v>
      </c>
    </row>
    <row r="85" spans="1:10" ht="16" x14ac:dyDescent="0.8">
      <c r="A85" s="42" t="s">
        <v>390</v>
      </c>
      <c r="B85" s="52" t="s">
        <v>257</v>
      </c>
      <c r="C85" s="42" t="s">
        <v>20</v>
      </c>
      <c r="D85" s="42" t="s">
        <v>33</v>
      </c>
      <c r="E85" s="42" t="s">
        <v>384</v>
      </c>
      <c r="F85" s="42"/>
      <c r="G85" s="51">
        <v>85</v>
      </c>
      <c r="H85" s="51"/>
      <c r="I85" s="51">
        <v>40</v>
      </c>
      <c r="J85" s="51">
        <f t="shared" si="4"/>
        <v>125</v>
      </c>
    </row>
    <row r="86" spans="1:10" ht="16" x14ac:dyDescent="0.8">
      <c r="A86" s="42" t="s">
        <v>391</v>
      </c>
      <c r="B86" s="42" t="s">
        <v>199</v>
      </c>
      <c r="C86" s="42" t="s">
        <v>385</v>
      </c>
      <c r="D86" s="42" t="s">
        <v>33</v>
      </c>
      <c r="E86" s="42" t="s">
        <v>384</v>
      </c>
      <c r="F86" s="42"/>
      <c r="G86" s="51">
        <v>85</v>
      </c>
      <c r="H86" s="51">
        <v>40</v>
      </c>
      <c r="I86" s="51"/>
      <c r="J86" s="51">
        <f>SUM(G86:I86)</f>
        <v>125</v>
      </c>
    </row>
    <row r="87" spans="1:10" ht="16" x14ac:dyDescent="0.8">
      <c r="A87" s="42" t="s">
        <v>391</v>
      </c>
      <c r="B87" s="42" t="s">
        <v>263</v>
      </c>
      <c r="C87" s="42" t="s">
        <v>20</v>
      </c>
      <c r="D87" s="42" t="s">
        <v>17</v>
      </c>
      <c r="E87" s="42" t="s">
        <v>384</v>
      </c>
      <c r="F87" s="42"/>
      <c r="G87" s="51">
        <v>105</v>
      </c>
      <c r="H87" s="51">
        <v>40</v>
      </c>
      <c r="I87" s="51"/>
      <c r="J87" s="51">
        <f>SUM(G87:I87)</f>
        <v>145</v>
      </c>
    </row>
    <row r="88" spans="1:10" x14ac:dyDescent="0.75">
      <c r="G88" s="63"/>
      <c r="J88" s="62">
        <f>SUM(J9:J87)</f>
        <v>10870</v>
      </c>
    </row>
    <row r="98" spans="4:4" x14ac:dyDescent="0.75">
      <c r="D98" s="58" t="s">
        <v>375</v>
      </c>
    </row>
  </sheetData>
  <conditionalFormatting sqref="B9:B23">
    <cfRule type="duplicateValues" dxfId="136" priority="8"/>
  </conditionalFormatting>
  <conditionalFormatting sqref="B24:B42">
    <cfRule type="duplicateValues" dxfId="135" priority="7"/>
  </conditionalFormatting>
  <conditionalFormatting sqref="B43:B53">
    <cfRule type="duplicateValues" dxfId="134" priority="6"/>
  </conditionalFormatting>
  <conditionalFormatting sqref="B54:B66">
    <cfRule type="duplicateValues" dxfId="133" priority="5"/>
  </conditionalFormatting>
  <conditionalFormatting sqref="B67:B85">
    <cfRule type="duplicateValues" dxfId="132" priority="4"/>
  </conditionalFormatting>
  <conditionalFormatting sqref="B67:B85">
    <cfRule type="duplicateValues" dxfId="131" priority="3"/>
  </conditionalFormatting>
  <conditionalFormatting sqref="B1:B1048576">
    <cfRule type="duplicateValues" dxfId="130" priority="1"/>
    <cfRule type="duplicateValues" dxfId="129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822F-87FB-4977-8D9E-5CCCBF5C2E99}">
  <sheetPr>
    <tabColor rgb="FF00B050"/>
  </sheetPr>
  <dimension ref="A1:J93"/>
  <sheetViews>
    <sheetView topLeftCell="E24" zoomScale="70" zoomScaleNormal="70" workbookViewId="0">
      <selection activeCell="E80" sqref="E80"/>
    </sheetView>
  </sheetViews>
  <sheetFormatPr defaultRowHeight="14.75" x14ac:dyDescent="0.75"/>
  <cols>
    <col min="1" max="1" width="24.5" style="78" customWidth="1"/>
    <col min="2" max="2" width="17.9140625" style="78" customWidth="1"/>
    <col min="3" max="3" width="22.75" style="78" customWidth="1"/>
    <col min="4" max="4" width="31.5390625" style="78" customWidth="1"/>
    <col min="5" max="5" width="27.75" style="78" customWidth="1"/>
    <col min="6" max="6" width="27.125" style="78" customWidth="1"/>
    <col min="7" max="7" width="16.25" style="78" customWidth="1"/>
    <col min="8" max="8" width="13.1640625" style="78" customWidth="1"/>
    <col min="9" max="9" width="12.20703125" style="78" customWidth="1"/>
    <col min="10" max="10" width="14.4140625" style="78" customWidth="1"/>
    <col min="11" max="16384" width="8.6640625" style="78"/>
  </cols>
  <sheetData>
    <row r="1" spans="1:10" ht="16" x14ac:dyDescent="0.8">
      <c r="A1" s="91" t="s">
        <v>86</v>
      </c>
      <c r="B1" s="81"/>
      <c r="C1" s="81"/>
      <c r="D1" s="81"/>
      <c r="G1" s="98"/>
    </row>
    <row r="2" spans="1:10" ht="16" x14ac:dyDescent="0.8">
      <c r="A2" s="91" t="s">
        <v>87</v>
      </c>
      <c r="B2" s="81"/>
      <c r="C2" s="92" t="s">
        <v>88</v>
      </c>
      <c r="D2" s="93">
        <v>44780</v>
      </c>
      <c r="G2" s="99"/>
    </row>
    <row r="3" spans="1:10" ht="16" x14ac:dyDescent="0.8">
      <c r="A3" s="91" t="s">
        <v>89</v>
      </c>
      <c r="B3" s="81"/>
      <c r="C3" s="92" t="s">
        <v>90</v>
      </c>
      <c r="D3" s="93">
        <v>44779</v>
      </c>
      <c r="G3" s="99"/>
    </row>
    <row r="4" spans="1:10" ht="16" x14ac:dyDescent="0.8">
      <c r="A4" s="91" t="s">
        <v>91</v>
      </c>
      <c r="B4" s="81"/>
      <c r="C4" s="92" t="s">
        <v>92</v>
      </c>
      <c r="D4" s="81">
        <v>45</v>
      </c>
      <c r="G4" s="99"/>
    </row>
    <row r="5" spans="1:10" ht="16" x14ac:dyDescent="0.8">
      <c r="A5" s="91" t="s">
        <v>93</v>
      </c>
      <c r="B5" s="81"/>
      <c r="C5" s="92" t="s">
        <v>94</v>
      </c>
      <c r="D5" s="94" t="s">
        <v>95</v>
      </c>
      <c r="G5" s="99"/>
    </row>
    <row r="6" spans="1:10" ht="16" x14ac:dyDescent="0.8">
      <c r="A6" s="81"/>
      <c r="B6" s="81"/>
      <c r="C6" s="92" t="s">
        <v>96</v>
      </c>
      <c r="D6" s="81"/>
      <c r="G6" s="99"/>
    </row>
    <row r="7" spans="1:10" ht="16" x14ac:dyDescent="0.8">
      <c r="A7" s="81"/>
      <c r="B7" s="81"/>
      <c r="C7" s="92" t="s">
        <v>97</v>
      </c>
      <c r="D7" s="95">
        <v>10705</v>
      </c>
      <c r="G7" s="99"/>
    </row>
    <row r="8" spans="1:10" s="87" customFormat="1" ht="32" x14ac:dyDescent="0.8">
      <c r="A8" s="88" t="s">
        <v>0</v>
      </c>
      <c r="B8" s="88" t="s">
        <v>1</v>
      </c>
      <c r="C8" s="89" t="s">
        <v>2</v>
      </c>
      <c r="D8" s="90" t="s">
        <v>3</v>
      </c>
      <c r="E8" s="79" t="s">
        <v>4</v>
      </c>
      <c r="F8" s="80" t="s">
        <v>4</v>
      </c>
      <c r="G8" s="104" t="s">
        <v>100</v>
      </c>
      <c r="H8" s="85" t="s">
        <v>98</v>
      </c>
      <c r="I8" s="85" t="s">
        <v>99</v>
      </c>
      <c r="J8" s="86" t="s">
        <v>97</v>
      </c>
    </row>
    <row r="9" spans="1:10" ht="16" x14ac:dyDescent="0.8">
      <c r="A9" s="83">
        <v>44774</v>
      </c>
      <c r="B9" s="100" t="s">
        <v>392</v>
      </c>
      <c r="C9" s="100" t="s">
        <v>20</v>
      </c>
      <c r="D9" s="100" t="s">
        <v>17</v>
      </c>
      <c r="E9" s="100"/>
      <c r="F9" s="100"/>
      <c r="G9" s="82">
        <v>105</v>
      </c>
      <c r="H9" s="82"/>
      <c r="I9" s="82"/>
      <c r="J9" s="82">
        <f>SUM(G9:I9)</f>
        <v>105</v>
      </c>
    </row>
    <row r="10" spans="1:10" ht="16" x14ac:dyDescent="0.8">
      <c r="A10" s="83">
        <v>44774</v>
      </c>
      <c r="B10" s="100" t="s">
        <v>393</v>
      </c>
      <c r="C10" s="100" t="s">
        <v>385</v>
      </c>
      <c r="D10" s="100" t="s">
        <v>8</v>
      </c>
      <c r="E10" s="100" t="s">
        <v>384</v>
      </c>
      <c r="F10" s="100"/>
      <c r="G10" s="82">
        <v>125</v>
      </c>
      <c r="H10" s="82">
        <v>40</v>
      </c>
      <c r="I10" s="82"/>
      <c r="J10" s="82">
        <f t="shared" ref="J10:J22" si="0">SUM(G10:I10)</f>
        <v>165</v>
      </c>
    </row>
    <row r="11" spans="1:10" ht="16" x14ac:dyDescent="0.8">
      <c r="A11" s="83">
        <v>44774</v>
      </c>
      <c r="B11" s="100" t="s">
        <v>394</v>
      </c>
      <c r="C11" s="100" t="s">
        <v>385</v>
      </c>
      <c r="D11" s="100" t="s">
        <v>8</v>
      </c>
      <c r="E11" s="100"/>
      <c r="F11" s="100"/>
      <c r="G11" s="82">
        <v>125</v>
      </c>
      <c r="H11" s="82"/>
      <c r="I11" s="82"/>
      <c r="J11" s="82">
        <f t="shared" si="0"/>
        <v>125</v>
      </c>
    </row>
    <row r="12" spans="1:10" ht="16" x14ac:dyDescent="0.8">
      <c r="A12" s="83">
        <v>44774</v>
      </c>
      <c r="B12" s="100" t="s">
        <v>395</v>
      </c>
      <c r="C12" s="100" t="s">
        <v>20</v>
      </c>
      <c r="D12" s="100" t="s">
        <v>30</v>
      </c>
      <c r="E12" s="100" t="s">
        <v>384</v>
      </c>
      <c r="F12" s="100"/>
      <c r="G12" s="82">
        <v>185</v>
      </c>
      <c r="H12" s="82">
        <v>40</v>
      </c>
      <c r="I12" s="82"/>
      <c r="J12" s="82">
        <f t="shared" si="0"/>
        <v>225</v>
      </c>
    </row>
    <row r="13" spans="1:10" ht="16" x14ac:dyDescent="0.8">
      <c r="A13" s="83">
        <v>44774</v>
      </c>
      <c r="B13" s="100" t="s">
        <v>396</v>
      </c>
      <c r="C13" s="100" t="s">
        <v>24</v>
      </c>
      <c r="D13" s="100" t="s">
        <v>8</v>
      </c>
      <c r="E13" s="100" t="s">
        <v>384</v>
      </c>
      <c r="F13" s="100"/>
      <c r="G13" s="82">
        <v>125</v>
      </c>
      <c r="H13" s="82">
        <v>40</v>
      </c>
      <c r="I13" s="82"/>
      <c r="J13" s="82">
        <f t="shared" si="0"/>
        <v>165</v>
      </c>
    </row>
    <row r="14" spans="1:10" ht="16" x14ac:dyDescent="0.8">
      <c r="A14" s="83">
        <v>44774</v>
      </c>
      <c r="B14" s="100" t="s">
        <v>397</v>
      </c>
      <c r="C14" s="100" t="s">
        <v>20</v>
      </c>
      <c r="D14" s="100" t="s">
        <v>8</v>
      </c>
      <c r="E14" s="100" t="s">
        <v>384</v>
      </c>
      <c r="F14" s="100"/>
      <c r="G14" s="82">
        <v>125</v>
      </c>
      <c r="H14" s="82">
        <v>40</v>
      </c>
      <c r="I14" s="82"/>
      <c r="J14" s="82">
        <f t="shared" si="0"/>
        <v>165</v>
      </c>
    </row>
    <row r="15" spans="1:10" ht="16" x14ac:dyDescent="0.8">
      <c r="A15" s="83">
        <v>44774</v>
      </c>
      <c r="B15" s="100" t="s">
        <v>398</v>
      </c>
      <c r="C15" s="100" t="s">
        <v>7</v>
      </c>
      <c r="D15" s="100" t="s">
        <v>33</v>
      </c>
      <c r="E15" s="100" t="s">
        <v>384</v>
      </c>
      <c r="F15" s="100"/>
      <c r="G15" s="82">
        <v>85</v>
      </c>
      <c r="H15" s="82">
        <v>40</v>
      </c>
      <c r="I15" s="82"/>
      <c r="J15" s="82">
        <f t="shared" si="0"/>
        <v>125</v>
      </c>
    </row>
    <row r="16" spans="1:10" ht="16" x14ac:dyDescent="0.8">
      <c r="A16" s="83">
        <v>44774</v>
      </c>
      <c r="B16" s="100" t="s">
        <v>399</v>
      </c>
      <c r="C16" s="100" t="s">
        <v>7</v>
      </c>
      <c r="D16" s="100" t="s">
        <v>8</v>
      </c>
      <c r="E16" s="100" t="s">
        <v>384</v>
      </c>
      <c r="F16" s="100"/>
      <c r="G16" s="82">
        <v>125</v>
      </c>
      <c r="H16" s="82">
        <v>40</v>
      </c>
      <c r="I16" s="82"/>
      <c r="J16" s="82">
        <f t="shared" si="0"/>
        <v>165</v>
      </c>
    </row>
    <row r="17" spans="1:10" ht="16" x14ac:dyDescent="0.8">
      <c r="A17" s="83">
        <v>44774</v>
      </c>
      <c r="B17" s="100" t="s">
        <v>400</v>
      </c>
      <c r="C17" s="100" t="s">
        <v>24</v>
      </c>
      <c r="D17" s="100" t="s">
        <v>8</v>
      </c>
      <c r="E17" s="100" t="s">
        <v>384</v>
      </c>
      <c r="F17" s="100"/>
      <c r="G17" s="82">
        <v>125</v>
      </c>
      <c r="H17" s="82">
        <v>40</v>
      </c>
      <c r="I17" s="82"/>
      <c r="J17" s="82">
        <f t="shared" si="0"/>
        <v>165</v>
      </c>
    </row>
    <row r="18" spans="1:10" ht="16" x14ac:dyDescent="0.8">
      <c r="A18" s="83">
        <v>44774</v>
      </c>
      <c r="B18" s="100" t="s">
        <v>401</v>
      </c>
      <c r="C18" s="100" t="s">
        <v>24</v>
      </c>
      <c r="D18" s="100" t="s">
        <v>8</v>
      </c>
      <c r="E18" s="100" t="s">
        <v>384</v>
      </c>
      <c r="F18" s="100" t="s">
        <v>21</v>
      </c>
      <c r="G18" s="82">
        <v>125</v>
      </c>
      <c r="H18" s="82">
        <v>40</v>
      </c>
      <c r="I18" s="82">
        <v>45</v>
      </c>
      <c r="J18" s="82">
        <f t="shared" si="0"/>
        <v>210</v>
      </c>
    </row>
    <row r="19" spans="1:10" s="101" customFormat="1" ht="16" x14ac:dyDescent="0.8">
      <c r="A19" s="83">
        <v>44774</v>
      </c>
      <c r="B19" s="100" t="s">
        <v>402</v>
      </c>
      <c r="C19" s="100" t="s">
        <v>385</v>
      </c>
      <c r="D19" s="100" t="s">
        <v>8</v>
      </c>
      <c r="E19" s="100" t="s">
        <v>384</v>
      </c>
      <c r="F19" s="100"/>
      <c r="G19" s="82">
        <v>125</v>
      </c>
      <c r="H19" s="82">
        <v>40</v>
      </c>
      <c r="I19" s="82"/>
      <c r="J19" s="82">
        <f t="shared" si="0"/>
        <v>165</v>
      </c>
    </row>
    <row r="20" spans="1:10" ht="16" x14ac:dyDescent="0.8">
      <c r="A20" s="83">
        <v>44774</v>
      </c>
      <c r="B20" s="100" t="s">
        <v>403</v>
      </c>
      <c r="C20" s="100" t="s">
        <v>20</v>
      </c>
      <c r="D20" s="100" t="s">
        <v>8</v>
      </c>
      <c r="E20" s="100" t="s">
        <v>384</v>
      </c>
      <c r="F20" s="100"/>
      <c r="G20" s="82">
        <v>125</v>
      </c>
      <c r="H20" s="82">
        <v>40</v>
      </c>
      <c r="I20" s="82"/>
      <c r="J20" s="82">
        <f t="shared" si="0"/>
        <v>165</v>
      </c>
    </row>
    <row r="21" spans="1:10" ht="16" x14ac:dyDescent="0.8">
      <c r="A21" s="83">
        <v>44774</v>
      </c>
      <c r="B21" s="100" t="s">
        <v>404</v>
      </c>
      <c r="C21" s="100" t="s">
        <v>24</v>
      </c>
      <c r="D21" s="100" t="s">
        <v>15</v>
      </c>
      <c r="E21" s="100" t="s">
        <v>384</v>
      </c>
      <c r="F21" s="100"/>
      <c r="G21" s="82">
        <v>40</v>
      </c>
      <c r="H21" s="82">
        <v>40</v>
      </c>
      <c r="I21" s="82"/>
      <c r="J21" s="82">
        <f t="shared" si="0"/>
        <v>80</v>
      </c>
    </row>
    <row r="22" spans="1:10" ht="16" x14ac:dyDescent="0.8">
      <c r="A22" s="83">
        <v>44774</v>
      </c>
      <c r="B22" s="100" t="s">
        <v>405</v>
      </c>
      <c r="C22" s="100" t="s">
        <v>24</v>
      </c>
      <c r="D22" s="100" t="s">
        <v>8</v>
      </c>
      <c r="E22" s="100" t="s">
        <v>384</v>
      </c>
      <c r="F22" s="100"/>
      <c r="G22" s="82">
        <v>125</v>
      </c>
      <c r="H22" s="82">
        <v>40</v>
      </c>
      <c r="I22" s="82"/>
      <c r="J22" s="82">
        <f t="shared" si="0"/>
        <v>165</v>
      </c>
    </row>
    <row r="23" spans="1:10" ht="16" x14ac:dyDescent="0.8">
      <c r="A23" s="83">
        <v>44775</v>
      </c>
      <c r="B23" s="100" t="s">
        <v>406</v>
      </c>
      <c r="C23" s="100" t="s">
        <v>24</v>
      </c>
      <c r="D23" s="100" t="s">
        <v>8</v>
      </c>
      <c r="E23" s="100"/>
      <c r="F23" s="100"/>
      <c r="G23" s="82">
        <v>125</v>
      </c>
      <c r="H23" s="82"/>
      <c r="I23" s="82"/>
      <c r="J23" s="82">
        <f>SUM(G23:I23)</f>
        <v>125</v>
      </c>
    </row>
    <row r="24" spans="1:10" ht="16" x14ac:dyDescent="0.8">
      <c r="A24" s="83">
        <v>44775</v>
      </c>
      <c r="B24" s="100" t="s">
        <v>407</v>
      </c>
      <c r="C24" s="100" t="s">
        <v>20</v>
      </c>
      <c r="D24" s="100" t="s">
        <v>33</v>
      </c>
      <c r="E24" s="100"/>
      <c r="F24" s="100"/>
      <c r="G24" s="82">
        <v>85</v>
      </c>
      <c r="H24" s="82"/>
      <c r="I24" s="82"/>
      <c r="J24" s="82">
        <f t="shared" ref="J24:J41" si="1">SUM(G24:I24)</f>
        <v>85</v>
      </c>
    </row>
    <row r="25" spans="1:10" ht="16" x14ac:dyDescent="0.8">
      <c r="A25" s="83">
        <v>44775</v>
      </c>
      <c r="B25" s="100" t="s">
        <v>408</v>
      </c>
      <c r="C25" s="100" t="s">
        <v>20</v>
      </c>
      <c r="D25" s="100" t="s">
        <v>17</v>
      </c>
      <c r="E25" s="100" t="s">
        <v>384</v>
      </c>
      <c r="F25" s="100"/>
      <c r="G25" s="82">
        <v>105</v>
      </c>
      <c r="H25" s="82">
        <v>40</v>
      </c>
      <c r="I25" s="82"/>
      <c r="J25" s="82">
        <f t="shared" si="1"/>
        <v>145</v>
      </c>
    </row>
    <row r="26" spans="1:10" ht="16" x14ac:dyDescent="0.8">
      <c r="A26" s="83">
        <v>44775</v>
      </c>
      <c r="B26" s="100" t="s">
        <v>409</v>
      </c>
      <c r="C26" s="100" t="s">
        <v>24</v>
      </c>
      <c r="D26" s="100" t="s">
        <v>410</v>
      </c>
      <c r="E26" s="100" t="s">
        <v>384</v>
      </c>
      <c r="F26" s="100"/>
      <c r="G26" s="82">
        <v>125</v>
      </c>
      <c r="H26" s="82">
        <v>40</v>
      </c>
      <c r="I26" s="82"/>
      <c r="J26" s="82">
        <f t="shared" si="1"/>
        <v>165</v>
      </c>
    </row>
    <row r="27" spans="1:10" ht="16" x14ac:dyDescent="0.8">
      <c r="A27" s="83">
        <v>44775</v>
      </c>
      <c r="B27" s="100" t="s">
        <v>411</v>
      </c>
      <c r="C27" s="100" t="s">
        <v>20</v>
      </c>
      <c r="D27" s="100" t="s">
        <v>31</v>
      </c>
      <c r="E27" s="100" t="s">
        <v>384</v>
      </c>
      <c r="F27" s="100"/>
      <c r="G27" s="82">
        <v>125</v>
      </c>
      <c r="H27" s="82">
        <v>40</v>
      </c>
      <c r="I27" s="82"/>
      <c r="J27" s="82">
        <f t="shared" si="1"/>
        <v>165</v>
      </c>
    </row>
    <row r="28" spans="1:10" ht="16" x14ac:dyDescent="0.8">
      <c r="A28" s="83">
        <v>44775</v>
      </c>
      <c r="B28" s="100" t="s">
        <v>412</v>
      </c>
      <c r="C28" s="100" t="s">
        <v>20</v>
      </c>
      <c r="D28" s="100" t="s">
        <v>31</v>
      </c>
      <c r="E28" s="100" t="s">
        <v>384</v>
      </c>
      <c r="F28" s="100"/>
      <c r="G28" s="82">
        <v>125</v>
      </c>
      <c r="H28" s="82">
        <v>40</v>
      </c>
      <c r="I28" s="82"/>
      <c r="J28" s="82">
        <f t="shared" si="1"/>
        <v>165</v>
      </c>
    </row>
    <row r="29" spans="1:10" ht="16" x14ac:dyDescent="0.8">
      <c r="A29" s="83">
        <v>44775</v>
      </c>
      <c r="B29" s="100" t="s">
        <v>413</v>
      </c>
      <c r="C29" s="100" t="s">
        <v>385</v>
      </c>
      <c r="D29" s="100" t="s">
        <v>8</v>
      </c>
      <c r="E29" s="100" t="s">
        <v>384</v>
      </c>
      <c r="F29" s="100"/>
      <c r="G29" s="82">
        <v>125</v>
      </c>
      <c r="H29" s="82">
        <v>40</v>
      </c>
      <c r="I29" s="82"/>
      <c r="J29" s="82">
        <f t="shared" si="1"/>
        <v>165</v>
      </c>
    </row>
    <row r="30" spans="1:10" ht="16" x14ac:dyDescent="0.8">
      <c r="A30" s="83">
        <v>44775</v>
      </c>
      <c r="B30" s="100" t="s">
        <v>414</v>
      </c>
      <c r="C30" s="100" t="s">
        <v>385</v>
      </c>
      <c r="D30" s="100" t="s">
        <v>8</v>
      </c>
      <c r="E30" s="100" t="s">
        <v>384</v>
      </c>
      <c r="F30" s="100"/>
      <c r="G30" s="82">
        <v>125</v>
      </c>
      <c r="H30" s="82">
        <v>40</v>
      </c>
      <c r="I30" s="82"/>
      <c r="J30" s="82">
        <f t="shared" si="1"/>
        <v>165</v>
      </c>
    </row>
    <row r="31" spans="1:10" ht="16" x14ac:dyDescent="0.8">
      <c r="A31" s="83">
        <v>44775</v>
      </c>
      <c r="B31" s="100" t="s">
        <v>415</v>
      </c>
      <c r="C31" s="100" t="s">
        <v>7</v>
      </c>
      <c r="D31" s="100" t="s">
        <v>8</v>
      </c>
      <c r="E31" s="100"/>
      <c r="F31" s="100"/>
      <c r="G31" s="82">
        <v>125</v>
      </c>
      <c r="H31" s="82"/>
      <c r="I31" s="82"/>
      <c r="J31" s="82">
        <f t="shared" si="1"/>
        <v>125</v>
      </c>
    </row>
    <row r="32" spans="1:10" ht="16" x14ac:dyDescent="0.8">
      <c r="A32" s="83">
        <v>44775</v>
      </c>
      <c r="B32" s="100" t="s">
        <v>416</v>
      </c>
      <c r="C32" s="100" t="s">
        <v>7</v>
      </c>
      <c r="D32" s="100" t="s">
        <v>33</v>
      </c>
      <c r="E32" s="100" t="s">
        <v>384</v>
      </c>
      <c r="F32" s="101"/>
      <c r="G32" s="82">
        <v>85</v>
      </c>
      <c r="H32" s="82">
        <v>40</v>
      </c>
      <c r="I32" s="82"/>
      <c r="J32" s="82">
        <f t="shared" si="1"/>
        <v>125</v>
      </c>
    </row>
    <row r="33" spans="1:10" ht="16" x14ac:dyDescent="0.8">
      <c r="A33" s="83">
        <v>44775</v>
      </c>
      <c r="B33" s="100" t="s">
        <v>417</v>
      </c>
      <c r="C33" s="100" t="s">
        <v>7</v>
      </c>
      <c r="D33" s="100" t="s">
        <v>33</v>
      </c>
      <c r="E33" s="100" t="s">
        <v>384</v>
      </c>
      <c r="F33" s="100"/>
      <c r="G33" s="82">
        <v>85</v>
      </c>
      <c r="H33" s="82">
        <v>40</v>
      </c>
      <c r="I33" s="82"/>
      <c r="J33" s="82">
        <f t="shared" si="1"/>
        <v>125</v>
      </c>
    </row>
    <row r="34" spans="1:10" ht="16" x14ac:dyDescent="0.8">
      <c r="A34" s="83">
        <v>44775</v>
      </c>
      <c r="B34" s="100" t="s">
        <v>418</v>
      </c>
      <c r="C34" s="100" t="s">
        <v>24</v>
      </c>
      <c r="D34" s="100" t="s">
        <v>33</v>
      </c>
      <c r="E34" s="100"/>
      <c r="F34" s="100"/>
      <c r="G34" s="82">
        <v>85</v>
      </c>
      <c r="H34" s="82"/>
      <c r="I34" s="82"/>
      <c r="J34" s="82">
        <f t="shared" si="1"/>
        <v>85</v>
      </c>
    </row>
    <row r="35" spans="1:10" ht="16" x14ac:dyDescent="0.8">
      <c r="A35" s="83">
        <v>44775</v>
      </c>
      <c r="B35" s="100" t="s">
        <v>419</v>
      </c>
      <c r="C35" s="100" t="s">
        <v>385</v>
      </c>
      <c r="D35" s="100" t="s">
        <v>33</v>
      </c>
      <c r="E35" s="100" t="s">
        <v>384</v>
      </c>
      <c r="F35" s="100"/>
      <c r="G35" s="82">
        <v>85</v>
      </c>
      <c r="H35" s="82">
        <v>40</v>
      </c>
      <c r="I35" s="82"/>
      <c r="J35" s="82">
        <f t="shared" si="1"/>
        <v>125</v>
      </c>
    </row>
    <row r="36" spans="1:10" ht="16" x14ac:dyDescent="0.8">
      <c r="A36" s="83">
        <v>44775</v>
      </c>
      <c r="B36" s="100" t="s">
        <v>420</v>
      </c>
      <c r="C36" s="100" t="s">
        <v>24</v>
      </c>
      <c r="D36" s="100" t="s">
        <v>8</v>
      </c>
      <c r="E36" s="100" t="s">
        <v>384</v>
      </c>
      <c r="F36" s="100"/>
      <c r="G36" s="82">
        <v>125</v>
      </c>
      <c r="H36" s="82">
        <v>40</v>
      </c>
      <c r="I36" s="82"/>
      <c r="J36" s="82">
        <f t="shared" si="1"/>
        <v>165</v>
      </c>
    </row>
    <row r="37" spans="1:10" ht="16" x14ac:dyDescent="0.8">
      <c r="A37" s="83">
        <v>44775</v>
      </c>
      <c r="B37" s="100" t="s">
        <v>421</v>
      </c>
      <c r="C37" s="100" t="s">
        <v>385</v>
      </c>
      <c r="D37" s="100" t="s">
        <v>33</v>
      </c>
      <c r="E37" s="100" t="s">
        <v>384</v>
      </c>
      <c r="F37" s="100"/>
      <c r="G37" s="82">
        <v>85</v>
      </c>
      <c r="H37" s="82">
        <v>40</v>
      </c>
      <c r="I37" s="82"/>
      <c r="J37" s="82">
        <f t="shared" si="1"/>
        <v>125</v>
      </c>
    </row>
    <row r="38" spans="1:10" ht="16" x14ac:dyDescent="0.8">
      <c r="A38" s="83">
        <v>44775</v>
      </c>
      <c r="B38" s="100" t="s">
        <v>422</v>
      </c>
      <c r="C38" s="100" t="s">
        <v>20</v>
      </c>
      <c r="D38" s="100" t="s">
        <v>8</v>
      </c>
      <c r="E38" s="100" t="s">
        <v>384</v>
      </c>
      <c r="F38" s="100"/>
      <c r="G38" s="82">
        <v>125</v>
      </c>
      <c r="H38" s="82">
        <v>40</v>
      </c>
      <c r="I38" s="82"/>
      <c r="J38" s="82">
        <f t="shared" si="1"/>
        <v>165</v>
      </c>
    </row>
    <row r="39" spans="1:10" ht="16" x14ac:dyDescent="0.8">
      <c r="A39" s="83">
        <v>44775</v>
      </c>
      <c r="B39" s="105" t="s">
        <v>477</v>
      </c>
      <c r="C39" s="100" t="s">
        <v>24</v>
      </c>
      <c r="D39" s="100" t="s">
        <v>8</v>
      </c>
      <c r="E39" s="100" t="s">
        <v>384</v>
      </c>
      <c r="F39" s="100"/>
      <c r="G39" s="82">
        <v>125</v>
      </c>
      <c r="H39" s="82">
        <v>40</v>
      </c>
      <c r="I39" s="82"/>
      <c r="J39" s="82">
        <f t="shared" si="1"/>
        <v>165</v>
      </c>
    </row>
    <row r="40" spans="1:10" ht="16" x14ac:dyDescent="0.8">
      <c r="A40" s="83">
        <v>44775</v>
      </c>
      <c r="B40" s="100" t="s">
        <v>423</v>
      </c>
      <c r="C40" s="100" t="s">
        <v>20</v>
      </c>
      <c r="D40" s="100" t="s">
        <v>8</v>
      </c>
      <c r="E40" s="100" t="s">
        <v>384</v>
      </c>
      <c r="F40" s="100"/>
      <c r="G40" s="82">
        <v>125</v>
      </c>
      <c r="H40" s="82">
        <v>40</v>
      </c>
      <c r="I40" s="82"/>
      <c r="J40" s="82">
        <f t="shared" si="1"/>
        <v>165</v>
      </c>
    </row>
    <row r="41" spans="1:10" ht="16" x14ac:dyDescent="0.8">
      <c r="A41" s="83">
        <v>44775</v>
      </c>
      <c r="B41" s="100" t="s">
        <v>424</v>
      </c>
      <c r="C41" s="100" t="s">
        <v>20</v>
      </c>
      <c r="D41" s="100" t="s">
        <v>15</v>
      </c>
      <c r="E41" s="100"/>
      <c r="F41" s="100"/>
      <c r="G41" s="82">
        <v>40</v>
      </c>
      <c r="H41" s="82"/>
      <c r="I41" s="82"/>
      <c r="J41" s="82">
        <f t="shared" si="1"/>
        <v>40</v>
      </c>
    </row>
    <row r="42" spans="1:10" ht="15" customHeight="1" x14ac:dyDescent="0.8">
      <c r="A42" s="83">
        <v>44776</v>
      </c>
      <c r="B42" s="100" t="s">
        <v>425</v>
      </c>
      <c r="C42" s="100" t="s">
        <v>385</v>
      </c>
      <c r="D42" s="100" t="s">
        <v>8</v>
      </c>
      <c r="E42" s="100" t="s">
        <v>384</v>
      </c>
      <c r="F42" s="100"/>
      <c r="G42" s="82">
        <v>125</v>
      </c>
      <c r="H42" s="82">
        <v>40</v>
      </c>
      <c r="I42" s="82"/>
      <c r="J42" s="82">
        <f>SUM(G42:I42)</f>
        <v>165</v>
      </c>
    </row>
    <row r="43" spans="1:10" ht="15" customHeight="1" x14ac:dyDescent="0.8">
      <c r="A43" s="83">
        <v>44776</v>
      </c>
      <c r="B43" s="100" t="s">
        <v>426</v>
      </c>
      <c r="C43" s="100" t="s">
        <v>20</v>
      </c>
      <c r="D43" s="100" t="s">
        <v>15</v>
      </c>
      <c r="E43" s="100"/>
      <c r="F43" s="100"/>
      <c r="G43" s="82">
        <v>40</v>
      </c>
      <c r="H43" s="82"/>
      <c r="I43" s="82"/>
      <c r="J43" s="82">
        <f t="shared" ref="J43:J54" si="2">SUM(G43:I43)</f>
        <v>40</v>
      </c>
    </row>
    <row r="44" spans="1:10" ht="15" customHeight="1" x14ac:dyDescent="0.8">
      <c r="A44" s="83">
        <v>44776</v>
      </c>
      <c r="B44" s="100" t="s">
        <v>427</v>
      </c>
      <c r="C44" s="100" t="s">
        <v>20</v>
      </c>
      <c r="D44" s="100" t="s">
        <v>33</v>
      </c>
      <c r="E44" s="100"/>
      <c r="F44" s="100"/>
      <c r="G44" s="82">
        <v>85</v>
      </c>
      <c r="H44" s="82"/>
      <c r="I44" s="82"/>
      <c r="J44" s="82">
        <f t="shared" si="2"/>
        <v>85</v>
      </c>
    </row>
    <row r="45" spans="1:10" ht="15" customHeight="1" x14ac:dyDescent="0.8">
      <c r="A45" s="83">
        <v>44776</v>
      </c>
      <c r="B45" s="100" t="s">
        <v>428</v>
      </c>
      <c r="C45" s="100" t="s">
        <v>20</v>
      </c>
      <c r="D45" s="100" t="s">
        <v>17</v>
      </c>
      <c r="E45" s="100" t="s">
        <v>384</v>
      </c>
      <c r="F45" s="100"/>
      <c r="G45" s="82">
        <v>105</v>
      </c>
      <c r="H45" s="82"/>
      <c r="I45" s="82">
        <v>40</v>
      </c>
      <c r="J45" s="82">
        <f t="shared" si="2"/>
        <v>145</v>
      </c>
    </row>
    <row r="46" spans="1:10" ht="15" customHeight="1" x14ac:dyDescent="0.8">
      <c r="A46" s="83">
        <v>44776</v>
      </c>
      <c r="B46" s="100" t="s">
        <v>429</v>
      </c>
      <c r="C46" s="100" t="s">
        <v>24</v>
      </c>
      <c r="D46" s="100" t="s">
        <v>8</v>
      </c>
      <c r="E46" s="100"/>
      <c r="F46" s="100"/>
      <c r="G46" s="82">
        <v>125</v>
      </c>
      <c r="H46" s="82"/>
      <c r="I46" s="82"/>
      <c r="J46" s="82">
        <f t="shared" si="2"/>
        <v>125</v>
      </c>
    </row>
    <row r="47" spans="1:10" ht="15" customHeight="1" x14ac:dyDescent="0.8">
      <c r="A47" s="83">
        <v>44776</v>
      </c>
      <c r="B47" s="100" t="s">
        <v>430</v>
      </c>
      <c r="C47" s="100" t="s">
        <v>20</v>
      </c>
      <c r="D47" s="100" t="s">
        <v>33</v>
      </c>
      <c r="E47" s="100"/>
      <c r="F47" s="100"/>
      <c r="G47" s="82">
        <v>85</v>
      </c>
      <c r="H47" s="82"/>
      <c r="I47" s="82"/>
      <c r="J47" s="82">
        <f t="shared" si="2"/>
        <v>85</v>
      </c>
    </row>
    <row r="48" spans="1:10" ht="15" customHeight="1" x14ac:dyDescent="0.8">
      <c r="A48" s="83">
        <v>44776</v>
      </c>
      <c r="B48" s="100" t="s">
        <v>431</v>
      </c>
      <c r="C48" s="100" t="s">
        <v>20</v>
      </c>
      <c r="D48" s="100" t="s">
        <v>31</v>
      </c>
      <c r="E48" s="100" t="s">
        <v>384</v>
      </c>
      <c r="F48" s="100"/>
      <c r="G48" s="82">
        <v>125</v>
      </c>
      <c r="H48" s="82">
        <v>40</v>
      </c>
      <c r="I48" s="82"/>
      <c r="J48" s="82">
        <f t="shared" si="2"/>
        <v>165</v>
      </c>
    </row>
    <row r="49" spans="1:10" ht="15" customHeight="1" x14ac:dyDescent="0.8">
      <c r="A49" s="83">
        <v>44776</v>
      </c>
      <c r="B49" s="100" t="s">
        <v>432</v>
      </c>
      <c r="C49" s="100" t="s">
        <v>385</v>
      </c>
      <c r="D49" s="100" t="s">
        <v>32</v>
      </c>
      <c r="E49" s="100" t="s">
        <v>384</v>
      </c>
      <c r="F49" s="100"/>
      <c r="G49" s="82">
        <v>155</v>
      </c>
      <c r="H49" s="82">
        <v>40</v>
      </c>
      <c r="I49" s="82"/>
      <c r="J49" s="82">
        <f t="shared" si="2"/>
        <v>195</v>
      </c>
    </row>
    <row r="50" spans="1:10" ht="15" customHeight="1" x14ac:dyDescent="0.8">
      <c r="A50" s="83">
        <v>44776</v>
      </c>
      <c r="B50" s="100" t="s">
        <v>433</v>
      </c>
      <c r="C50" s="100" t="s">
        <v>385</v>
      </c>
      <c r="D50" s="100" t="s">
        <v>17</v>
      </c>
      <c r="E50" s="100" t="s">
        <v>384</v>
      </c>
      <c r="F50" s="100"/>
      <c r="G50" s="82">
        <v>105</v>
      </c>
      <c r="H50" s="82"/>
      <c r="I50" s="82">
        <v>40</v>
      </c>
      <c r="J50" s="82">
        <f t="shared" si="2"/>
        <v>145</v>
      </c>
    </row>
    <row r="51" spans="1:10" ht="15" customHeight="1" x14ac:dyDescent="0.8">
      <c r="A51" s="83">
        <v>44776</v>
      </c>
      <c r="B51" s="100" t="s">
        <v>434</v>
      </c>
      <c r="C51" s="100" t="s">
        <v>24</v>
      </c>
      <c r="D51" s="100" t="s">
        <v>15</v>
      </c>
      <c r="E51" s="100"/>
      <c r="F51" s="100"/>
      <c r="G51" s="82">
        <v>40</v>
      </c>
      <c r="H51" s="82"/>
      <c r="I51" s="82"/>
      <c r="J51" s="82">
        <f t="shared" si="2"/>
        <v>40</v>
      </c>
    </row>
    <row r="52" spans="1:10" ht="15" customHeight="1" x14ac:dyDescent="0.8">
      <c r="A52" s="83">
        <v>44776</v>
      </c>
      <c r="B52" s="100" t="s">
        <v>435</v>
      </c>
      <c r="C52" s="100" t="s">
        <v>24</v>
      </c>
      <c r="D52" s="100" t="s">
        <v>8</v>
      </c>
      <c r="E52" s="100"/>
      <c r="F52" s="100"/>
      <c r="G52" s="82">
        <v>125</v>
      </c>
      <c r="H52" s="82"/>
      <c r="I52" s="82"/>
      <c r="J52" s="82">
        <f t="shared" si="2"/>
        <v>125</v>
      </c>
    </row>
    <row r="53" spans="1:10" ht="15" customHeight="1" x14ac:dyDescent="0.8">
      <c r="A53" s="83">
        <v>44776</v>
      </c>
      <c r="B53" s="100" t="s">
        <v>436</v>
      </c>
      <c r="C53" s="100" t="s">
        <v>385</v>
      </c>
      <c r="D53" s="100" t="s">
        <v>33</v>
      </c>
      <c r="E53" s="100" t="s">
        <v>384</v>
      </c>
      <c r="F53" s="100"/>
      <c r="G53" s="82">
        <v>85</v>
      </c>
      <c r="H53" s="82">
        <v>40</v>
      </c>
      <c r="I53" s="82"/>
      <c r="J53" s="82">
        <f t="shared" si="2"/>
        <v>125</v>
      </c>
    </row>
    <row r="54" spans="1:10" ht="15" customHeight="1" x14ac:dyDescent="0.8">
      <c r="A54" s="83">
        <v>44776</v>
      </c>
      <c r="B54" s="100" t="s">
        <v>437</v>
      </c>
      <c r="C54" s="100" t="s">
        <v>24</v>
      </c>
      <c r="D54" s="100" t="s">
        <v>8</v>
      </c>
      <c r="E54" s="100" t="s">
        <v>384</v>
      </c>
      <c r="F54" s="100"/>
      <c r="G54" s="82">
        <v>125</v>
      </c>
      <c r="H54" s="82">
        <v>40</v>
      </c>
      <c r="I54" s="82"/>
      <c r="J54" s="82">
        <f t="shared" si="2"/>
        <v>165</v>
      </c>
    </row>
    <row r="55" spans="1:10" ht="15" customHeight="1" x14ac:dyDescent="0.8">
      <c r="A55" s="83">
        <v>44777</v>
      </c>
      <c r="B55" s="100" t="s">
        <v>438</v>
      </c>
      <c r="C55" s="100" t="s">
        <v>20</v>
      </c>
      <c r="D55" s="100" t="s">
        <v>33</v>
      </c>
      <c r="E55" s="100"/>
      <c r="F55" s="100"/>
      <c r="G55" s="82">
        <v>85</v>
      </c>
      <c r="H55" s="82"/>
      <c r="I55" s="82"/>
      <c r="J55" s="82">
        <f>SUM(G55:I55)</f>
        <v>85</v>
      </c>
    </row>
    <row r="56" spans="1:10" ht="15" customHeight="1" x14ac:dyDescent="0.8">
      <c r="A56" s="83">
        <v>44777</v>
      </c>
      <c r="B56" s="100" t="s">
        <v>439</v>
      </c>
      <c r="C56" s="100" t="s">
        <v>20</v>
      </c>
      <c r="D56" s="100" t="s">
        <v>33</v>
      </c>
      <c r="E56" s="100"/>
      <c r="F56" s="100"/>
      <c r="G56" s="82">
        <v>85</v>
      </c>
      <c r="H56" s="82"/>
      <c r="I56" s="82"/>
      <c r="J56" s="82">
        <f t="shared" ref="J56:J66" si="3">SUM(G56:I56)</f>
        <v>85</v>
      </c>
    </row>
    <row r="57" spans="1:10" ht="15" customHeight="1" x14ac:dyDescent="0.8">
      <c r="A57" s="83">
        <v>44777</v>
      </c>
      <c r="B57" s="100" t="s">
        <v>440</v>
      </c>
      <c r="C57" s="100" t="s">
        <v>20</v>
      </c>
      <c r="D57" s="100" t="s">
        <v>33</v>
      </c>
      <c r="E57" s="100"/>
      <c r="F57" s="100"/>
      <c r="G57" s="82">
        <v>85</v>
      </c>
      <c r="H57" s="82"/>
      <c r="I57" s="82"/>
      <c r="J57" s="82">
        <f t="shared" si="3"/>
        <v>85</v>
      </c>
    </row>
    <row r="58" spans="1:10" ht="15" customHeight="1" x14ac:dyDescent="0.8">
      <c r="A58" s="83">
        <v>44777</v>
      </c>
      <c r="B58" s="102" t="s">
        <v>475</v>
      </c>
      <c r="C58" s="100" t="s">
        <v>20</v>
      </c>
      <c r="D58" s="100" t="s">
        <v>33</v>
      </c>
      <c r="E58" s="100"/>
      <c r="F58" s="100"/>
      <c r="G58" s="82">
        <v>85</v>
      </c>
      <c r="H58" s="82"/>
      <c r="I58" s="82"/>
      <c r="J58" s="82">
        <f t="shared" si="3"/>
        <v>85</v>
      </c>
    </row>
    <row r="59" spans="1:10" ht="15" customHeight="1" x14ac:dyDescent="0.8">
      <c r="A59" s="83">
        <v>44777</v>
      </c>
      <c r="B59" s="100" t="s">
        <v>441</v>
      </c>
      <c r="C59" s="100" t="s">
        <v>7</v>
      </c>
      <c r="D59" s="100" t="s">
        <v>8</v>
      </c>
      <c r="E59" s="100" t="s">
        <v>384</v>
      </c>
      <c r="F59" s="100"/>
      <c r="G59" s="82">
        <v>125</v>
      </c>
      <c r="H59" s="82">
        <v>40</v>
      </c>
      <c r="I59" s="82"/>
      <c r="J59" s="82">
        <f t="shared" si="3"/>
        <v>165</v>
      </c>
    </row>
    <row r="60" spans="1:10" ht="15" customHeight="1" x14ac:dyDescent="0.8">
      <c r="A60" s="83">
        <v>44777</v>
      </c>
      <c r="B60" s="100" t="s">
        <v>442</v>
      </c>
      <c r="C60" s="100" t="s">
        <v>7</v>
      </c>
      <c r="D60" s="100" t="s">
        <v>8</v>
      </c>
      <c r="E60" s="100" t="s">
        <v>384</v>
      </c>
      <c r="F60" s="100"/>
      <c r="G60" s="82">
        <v>125</v>
      </c>
      <c r="H60" s="82">
        <v>40</v>
      </c>
      <c r="I60" s="82"/>
      <c r="J60" s="82">
        <f t="shared" si="3"/>
        <v>165</v>
      </c>
    </row>
    <row r="61" spans="1:10" ht="15" customHeight="1" x14ac:dyDescent="0.8">
      <c r="A61" s="83">
        <v>44777</v>
      </c>
      <c r="B61" s="100" t="s">
        <v>443</v>
      </c>
      <c r="C61" s="100" t="s">
        <v>20</v>
      </c>
      <c r="D61" s="100" t="s">
        <v>33</v>
      </c>
      <c r="E61" s="100"/>
      <c r="F61" s="100"/>
      <c r="G61" s="82">
        <v>85</v>
      </c>
      <c r="H61" s="82"/>
      <c r="I61" s="82"/>
      <c r="J61" s="82">
        <f t="shared" si="3"/>
        <v>85</v>
      </c>
    </row>
    <row r="62" spans="1:10" ht="15" customHeight="1" x14ac:dyDescent="0.8">
      <c r="A62" s="83">
        <v>44777</v>
      </c>
      <c r="B62" s="100" t="s">
        <v>444</v>
      </c>
      <c r="C62" s="100" t="s">
        <v>385</v>
      </c>
      <c r="D62" s="100" t="s">
        <v>8</v>
      </c>
      <c r="E62" s="100" t="s">
        <v>384</v>
      </c>
      <c r="F62" s="100"/>
      <c r="G62" s="82">
        <v>125</v>
      </c>
      <c r="H62" s="82">
        <v>40</v>
      </c>
      <c r="I62" s="82"/>
      <c r="J62" s="82">
        <f t="shared" si="3"/>
        <v>165</v>
      </c>
    </row>
    <row r="63" spans="1:10" ht="15" customHeight="1" x14ac:dyDescent="0.8">
      <c r="A63" s="83">
        <v>44777</v>
      </c>
      <c r="B63" s="100" t="s">
        <v>445</v>
      </c>
      <c r="C63" s="100" t="s">
        <v>385</v>
      </c>
      <c r="D63" s="100" t="s">
        <v>8</v>
      </c>
      <c r="E63" s="100" t="s">
        <v>384</v>
      </c>
      <c r="F63" s="100"/>
      <c r="G63" s="82">
        <v>125</v>
      </c>
      <c r="H63" s="82">
        <v>40</v>
      </c>
      <c r="I63" s="82"/>
      <c r="J63" s="82">
        <f t="shared" si="3"/>
        <v>165</v>
      </c>
    </row>
    <row r="64" spans="1:10" ht="15" customHeight="1" x14ac:dyDescent="0.8">
      <c r="A64" s="83">
        <v>44777</v>
      </c>
      <c r="B64" s="100" t="s">
        <v>446</v>
      </c>
      <c r="C64" s="100" t="s">
        <v>20</v>
      </c>
      <c r="D64" s="100" t="s">
        <v>8</v>
      </c>
      <c r="E64" s="100"/>
      <c r="F64" s="100"/>
      <c r="G64" s="82">
        <v>125</v>
      </c>
      <c r="H64" s="82"/>
      <c r="I64" s="82"/>
      <c r="J64" s="82">
        <f t="shared" si="3"/>
        <v>125</v>
      </c>
    </row>
    <row r="65" spans="1:10" ht="15" customHeight="1" x14ac:dyDescent="0.8">
      <c r="A65" s="83">
        <v>44777</v>
      </c>
      <c r="B65" s="100" t="s">
        <v>447</v>
      </c>
      <c r="C65" s="100" t="s">
        <v>385</v>
      </c>
      <c r="D65" s="100" t="s">
        <v>8</v>
      </c>
      <c r="E65" s="100" t="s">
        <v>384</v>
      </c>
      <c r="F65" s="100"/>
      <c r="G65" s="82">
        <v>125</v>
      </c>
      <c r="H65" s="82">
        <v>40</v>
      </c>
      <c r="I65" s="82"/>
      <c r="J65" s="82">
        <f t="shared" si="3"/>
        <v>165</v>
      </c>
    </row>
    <row r="66" spans="1:10" ht="15" customHeight="1" x14ac:dyDescent="0.8">
      <c r="A66" s="83">
        <v>44777</v>
      </c>
      <c r="B66" s="100" t="s">
        <v>448</v>
      </c>
      <c r="C66" s="100" t="s">
        <v>20</v>
      </c>
      <c r="D66" s="100" t="s">
        <v>15</v>
      </c>
      <c r="E66" s="100"/>
      <c r="F66" s="100"/>
      <c r="G66" s="82">
        <v>40</v>
      </c>
      <c r="H66" s="82"/>
      <c r="I66" s="82"/>
      <c r="J66" s="82">
        <f t="shared" si="3"/>
        <v>40</v>
      </c>
    </row>
    <row r="67" spans="1:10" ht="15" customHeight="1" x14ac:dyDescent="0.8">
      <c r="A67" s="83">
        <v>44778</v>
      </c>
      <c r="B67" s="100" t="s">
        <v>449</v>
      </c>
      <c r="C67" s="100" t="s">
        <v>7</v>
      </c>
      <c r="D67" s="100" t="s">
        <v>8</v>
      </c>
      <c r="E67" s="100" t="s">
        <v>384</v>
      </c>
      <c r="F67" s="100"/>
      <c r="G67" s="82">
        <v>125</v>
      </c>
      <c r="H67" s="82">
        <v>40</v>
      </c>
      <c r="I67" s="82"/>
      <c r="J67" s="82">
        <f>SUM(G67:I67)</f>
        <v>165</v>
      </c>
    </row>
    <row r="68" spans="1:10" ht="15" customHeight="1" x14ac:dyDescent="0.8">
      <c r="A68" s="83">
        <v>44778</v>
      </c>
      <c r="B68" s="100" t="s">
        <v>450</v>
      </c>
      <c r="C68" s="100" t="s">
        <v>7</v>
      </c>
      <c r="D68" s="100" t="s">
        <v>17</v>
      </c>
      <c r="E68" s="100" t="s">
        <v>384</v>
      </c>
      <c r="F68" s="100"/>
      <c r="G68" s="82">
        <v>105</v>
      </c>
      <c r="H68" s="82">
        <v>40</v>
      </c>
      <c r="I68" s="82"/>
      <c r="J68" s="82">
        <f t="shared" ref="J68:J87" si="4">SUM(G68:I68)</f>
        <v>145</v>
      </c>
    </row>
    <row r="69" spans="1:10" ht="15" customHeight="1" x14ac:dyDescent="0.8">
      <c r="A69" s="83">
        <v>44778</v>
      </c>
      <c r="B69" s="100" t="s">
        <v>451</v>
      </c>
      <c r="C69" s="100" t="s">
        <v>7</v>
      </c>
      <c r="D69" s="100" t="s">
        <v>8</v>
      </c>
      <c r="E69" s="100" t="s">
        <v>384</v>
      </c>
      <c r="F69" s="100"/>
      <c r="G69" s="82">
        <v>125</v>
      </c>
      <c r="H69" s="82">
        <v>40</v>
      </c>
      <c r="I69" s="82"/>
      <c r="J69" s="82">
        <f t="shared" si="4"/>
        <v>165</v>
      </c>
    </row>
    <row r="70" spans="1:10" ht="15" customHeight="1" x14ac:dyDescent="0.8">
      <c r="A70" s="83">
        <v>44778</v>
      </c>
      <c r="B70" s="100" t="s">
        <v>452</v>
      </c>
      <c r="C70" s="100" t="s">
        <v>7</v>
      </c>
      <c r="D70" s="100" t="s">
        <v>8</v>
      </c>
      <c r="E70" s="100" t="s">
        <v>384</v>
      </c>
      <c r="F70" s="100"/>
      <c r="G70" s="82">
        <v>125</v>
      </c>
      <c r="H70" s="82">
        <v>40</v>
      </c>
      <c r="I70" s="82">
        <v>45</v>
      </c>
      <c r="J70" s="82">
        <f t="shared" si="4"/>
        <v>210</v>
      </c>
    </row>
    <row r="71" spans="1:10" ht="15" customHeight="1" x14ac:dyDescent="0.8">
      <c r="A71" s="83">
        <v>44778</v>
      </c>
      <c r="B71" s="100" t="s">
        <v>453</v>
      </c>
      <c r="C71" s="100" t="s">
        <v>24</v>
      </c>
      <c r="D71" s="100" t="s">
        <v>8</v>
      </c>
      <c r="E71" s="100"/>
      <c r="F71" s="100"/>
      <c r="G71" s="82">
        <v>125</v>
      </c>
      <c r="H71" s="82"/>
      <c r="I71" s="82"/>
      <c r="J71" s="82">
        <f t="shared" si="4"/>
        <v>125</v>
      </c>
    </row>
    <row r="72" spans="1:10" ht="15" customHeight="1" x14ac:dyDescent="0.8">
      <c r="A72" s="83">
        <v>44778</v>
      </c>
      <c r="B72" s="100" t="s">
        <v>454</v>
      </c>
      <c r="C72" s="100" t="s">
        <v>24</v>
      </c>
      <c r="D72" s="100" t="s">
        <v>31</v>
      </c>
      <c r="E72" s="100" t="s">
        <v>384</v>
      </c>
      <c r="F72" s="100"/>
      <c r="G72" s="82">
        <v>125</v>
      </c>
      <c r="H72" s="82">
        <v>40</v>
      </c>
      <c r="I72" s="82"/>
      <c r="J72" s="82">
        <f t="shared" si="4"/>
        <v>165</v>
      </c>
    </row>
    <row r="73" spans="1:10" ht="15" customHeight="1" x14ac:dyDescent="0.8">
      <c r="A73" s="83">
        <v>44778</v>
      </c>
      <c r="B73" s="100" t="s">
        <v>455</v>
      </c>
      <c r="C73" s="100" t="s">
        <v>20</v>
      </c>
      <c r="D73" s="100" t="s">
        <v>33</v>
      </c>
      <c r="E73" s="100"/>
      <c r="F73" s="100"/>
      <c r="G73" s="82">
        <v>85</v>
      </c>
      <c r="H73" s="82"/>
      <c r="I73" s="82"/>
      <c r="J73" s="82">
        <f t="shared" si="4"/>
        <v>85</v>
      </c>
    </row>
    <row r="74" spans="1:10" ht="15" customHeight="1" x14ac:dyDescent="0.8">
      <c r="A74" s="83">
        <v>44778</v>
      </c>
      <c r="B74" s="100" t="s">
        <v>456</v>
      </c>
      <c r="C74" s="100" t="s">
        <v>20</v>
      </c>
      <c r="D74" s="100" t="s">
        <v>33</v>
      </c>
      <c r="E74" s="100"/>
      <c r="F74" s="100"/>
      <c r="G74" s="82">
        <v>85</v>
      </c>
      <c r="H74" s="82"/>
      <c r="I74" s="82"/>
      <c r="J74" s="82">
        <f t="shared" si="4"/>
        <v>85</v>
      </c>
    </row>
    <row r="75" spans="1:10" ht="15" customHeight="1" x14ac:dyDescent="0.8">
      <c r="A75" s="83">
        <v>44778</v>
      </c>
      <c r="B75" s="100" t="s">
        <v>457</v>
      </c>
      <c r="C75" s="100" t="s">
        <v>20</v>
      </c>
      <c r="D75" s="100" t="s">
        <v>33</v>
      </c>
      <c r="E75" s="100"/>
      <c r="F75" s="100"/>
      <c r="G75" s="82">
        <v>85</v>
      </c>
      <c r="H75" s="82"/>
      <c r="I75" s="82"/>
      <c r="J75" s="82">
        <f t="shared" si="4"/>
        <v>85</v>
      </c>
    </row>
    <row r="76" spans="1:10" ht="15" customHeight="1" x14ac:dyDescent="0.8">
      <c r="A76" s="83">
        <v>44778</v>
      </c>
      <c r="B76" s="100" t="s">
        <v>458</v>
      </c>
      <c r="C76" s="100" t="s">
        <v>20</v>
      </c>
      <c r="D76" s="100" t="s">
        <v>33</v>
      </c>
      <c r="E76" s="100"/>
      <c r="F76" s="100"/>
      <c r="G76" s="82">
        <v>85</v>
      </c>
      <c r="H76" s="82"/>
      <c r="I76" s="82"/>
      <c r="J76" s="82">
        <f t="shared" si="4"/>
        <v>85</v>
      </c>
    </row>
    <row r="77" spans="1:10" ht="15" customHeight="1" x14ac:dyDescent="0.8">
      <c r="A77" s="83">
        <v>44778</v>
      </c>
      <c r="B77" s="100" t="s">
        <v>459</v>
      </c>
      <c r="C77" s="100" t="s">
        <v>20</v>
      </c>
      <c r="D77" s="100" t="s">
        <v>33</v>
      </c>
      <c r="E77" s="100"/>
      <c r="F77" s="100"/>
      <c r="G77" s="82">
        <v>85</v>
      </c>
      <c r="H77" s="82"/>
      <c r="I77" s="82"/>
      <c r="J77" s="82">
        <f t="shared" si="4"/>
        <v>85</v>
      </c>
    </row>
    <row r="78" spans="1:10" s="96" customFormat="1" ht="15" customHeight="1" x14ac:dyDescent="0.8">
      <c r="A78" s="83">
        <v>44778</v>
      </c>
      <c r="B78" s="100" t="s">
        <v>460</v>
      </c>
      <c r="C78" s="100" t="s">
        <v>385</v>
      </c>
      <c r="D78" s="117" t="s">
        <v>476</v>
      </c>
      <c r="E78" s="105"/>
      <c r="F78" s="100"/>
      <c r="G78" s="82">
        <v>85</v>
      </c>
      <c r="H78" s="82"/>
      <c r="I78" s="82"/>
      <c r="J78" s="82">
        <f t="shared" si="4"/>
        <v>85</v>
      </c>
    </row>
    <row r="79" spans="1:10" ht="16" x14ac:dyDescent="0.8">
      <c r="A79" s="83">
        <v>44778</v>
      </c>
      <c r="B79" s="100" t="s">
        <v>461</v>
      </c>
      <c r="C79" s="100" t="s">
        <v>24</v>
      </c>
      <c r="D79" s="100" t="s">
        <v>17</v>
      </c>
      <c r="E79" s="100"/>
      <c r="F79" s="100"/>
      <c r="G79" s="82">
        <v>105</v>
      </c>
      <c r="H79" s="82"/>
      <c r="I79" s="100"/>
      <c r="J79" s="82">
        <f t="shared" si="4"/>
        <v>105</v>
      </c>
    </row>
    <row r="80" spans="1:10" ht="16" x14ac:dyDescent="0.8">
      <c r="A80" s="83">
        <v>44778</v>
      </c>
      <c r="B80" s="100" t="s">
        <v>462</v>
      </c>
      <c r="C80" s="100" t="s">
        <v>385</v>
      </c>
      <c r="D80" s="100" t="s">
        <v>17</v>
      </c>
      <c r="E80" s="100"/>
      <c r="F80" s="101"/>
      <c r="G80" s="82">
        <v>105</v>
      </c>
      <c r="H80" s="82"/>
      <c r="I80" s="100"/>
      <c r="J80" s="82">
        <f t="shared" si="4"/>
        <v>105</v>
      </c>
    </row>
    <row r="81" spans="1:10" ht="16" x14ac:dyDescent="0.8">
      <c r="A81" s="83">
        <v>44778</v>
      </c>
      <c r="B81" s="100" t="s">
        <v>463</v>
      </c>
      <c r="C81" s="100" t="s">
        <v>385</v>
      </c>
      <c r="D81" s="100" t="s">
        <v>8</v>
      </c>
      <c r="E81" s="100" t="s">
        <v>384</v>
      </c>
      <c r="F81" s="100"/>
      <c r="G81" s="82">
        <v>125</v>
      </c>
      <c r="H81" s="82">
        <v>40</v>
      </c>
      <c r="I81" s="100"/>
      <c r="J81" s="82">
        <f t="shared" si="4"/>
        <v>165</v>
      </c>
    </row>
    <row r="82" spans="1:10" ht="16" x14ac:dyDescent="0.8">
      <c r="A82" s="83">
        <v>44778</v>
      </c>
      <c r="B82" s="100" t="s">
        <v>464</v>
      </c>
      <c r="C82" s="100" t="s">
        <v>20</v>
      </c>
      <c r="D82" s="100" t="s">
        <v>33</v>
      </c>
      <c r="E82" s="100"/>
      <c r="F82" s="100"/>
      <c r="G82" s="82">
        <v>85</v>
      </c>
      <c r="H82" s="82"/>
      <c r="I82" s="100"/>
      <c r="J82" s="82">
        <f t="shared" si="4"/>
        <v>85</v>
      </c>
    </row>
    <row r="83" spans="1:10" ht="16" x14ac:dyDescent="0.8">
      <c r="A83" s="83">
        <v>44778</v>
      </c>
      <c r="B83" s="100" t="s">
        <v>465</v>
      </c>
      <c r="C83" s="100" t="s">
        <v>20</v>
      </c>
      <c r="D83" s="100" t="s">
        <v>8</v>
      </c>
      <c r="E83" s="100"/>
      <c r="F83" s="100"/>
      <c r="G83" s="82">
        <v>125</v>
      </c>
      <c r="H83" s="82"/>
      <c r="I83" s="100"/>
      <c r="J83" s="82">
        <f t="shared" si="4"/>
        <v>125</v>
      </c>
    </row>
    <row r="84" spans="1:10" ht="16" x14ac:dyDescent="0.8">
      <c r="A84" s="83">
        <v>44778</v>
      </c>
      <c r="B84" s="100" t="s">
        <v>466</v>
      </c>
      <c r="C84" s="100" t="s">
        <v>385</v>
      </c>
      <c r="D84" s="100" t="s">
        <v>33</v>
      </c>
      <c r="E84" s="100" t="s">
        <v>384</v>
      </c>
      <c r="F84" s="100" t="s">
        <v>375</v>
      </c>
      <c r="G84" s="82">
        <v>85</v>
      </c>
      <c r="H84" s="82">
        <v>40</v>
      </c>
      <c r="I84" s="100"/>
      <c r="J84" s="82">
        <f t="shared" si="4"/>
        <v>125</v>
      </c>
    </row>
    <row r="85" spans="1:10" ht="16" x14ac:dyDescent="0.8">
      <c r="A85" s="83">
        <v>44778</v>
      </c>
      <c r="B85" s="100" t="s">
        <v>467</v>
      </c>
      <c r="C85" s="100" t="s">
        <v>24</v>
      </c>
      <c r="D85" s="100" t="s">
        <v>15</v>
      </c>
      <c r="E85" s="100"/>
      <c r="F85" s="100"/>
      <c r="G85" s="82">
        <v>40</v>
      </c>
      <c r="H85" s="82"/>
      <c r="I85" s="100"/>
      <c r="J85" s="82">
        <f t="shared" si="4"/>
        <v>40</v>
      </c>
    </row>
    <row r="86" spans="1:10" ht="16" x14ac:dyDescent="0.8">
      <c r="A86" s="83">
        <v>44778</v>
      </c>
      <c r="B86" s="100" t="s">
        <v>468</v>
      </c>
      <c r="C86" s="100" t="s">
        <v>20</v>
      </c>
      <c r="D86" s="100" t="s">
        <v>17</v>
      </c>
      <c r="E86" s="100" t="s">
        <v>384</v>
      </c>
      <c r="F86" s="100"/>
      <c r="G86" s="82">
        <v>105</v>
      </c>
      <c r="H86" s="82">
        <v>40</v>
      </c>
      <c r="I86" s="100"/>
      <c r="J86" s="82">
        <f t="shared" si="4"/>
        <v>145</v>
      </c>
    </row>
    <row r="87" spans="1:10" ht="16" x14ac:dyDescent="0.8">
      <c r="A87" s="83">
        <v>44778</v>
      </c>
      <c r="B87" s="100" t="s">
        <v>469</v>
      </c>
      <c r="C87" s="100" t="s">
        <v>24</v>
      </c>
      <c r="D87" s="100" t="s">
        <v>8</v>
      </c>
      <c r="E87" s="100"/>
      <c r="F87" s="100"/>
      <c r="G87" s="82">
        <v>125</v>
      </c>
      <c r="H87" s="82"/>
      <c r="I87" s="100"/>
      <c r="J87" s="82">
        <f t="shared" si="4"/>
        <v>125</v>
      </c>
    </row>
    <row r="88" spans="1:10" ht="15" customHeight="1" x14ac:dyDescent="0.8">
      <c r="A88" s="83">
        <v>44779</v>
      </c>
      <c r="B88" s="100" t="s">
        <v>470</v>
      </c>
      <c r="C88" s="100" t="s">
        <v>20</v>
      </c>
      <c r="D88" s="100" t="s">
        <v>32</v>
      </c>
      <c r="E88" s="100"/>
      <c r="F88" s="100"/>
      <c r="G88" s="82">
        <v>155</v>
      </c>
      <c r="H88" s="82"/>
      <c r="I88" s="82"/>
      <c r="J88" s="82">
        <f>SUM(G88:I88)</f>
        <v>155</v>
      </c>
    </row>
    <row r="89" spans="1:10" ht="15" customHeight="1" x14ac:dyDescent="0.8">
      <c r="A89" s="83">
        <v>44779</v>
      </c>
      <c r="B89" s="100" t="s">
        <v>471</v>
      </c>
      <c r="C89" s="100" t="s">
        <v>24</v>
      </c>
      <c r="D89" s="100" t="s">
        <v>15</v>
      </c>
      <c r="E89" s="100"/>
      <c r="F89" s="100"/>
      <c r="G89" s="82">
        <v>40</v>
      </c>
      <c r="H89" s="82"/>
      <c r="I89" s="82"/>
      <c r="J89" s="82">
        <f>SUM(G89:I89)</f>
        <v>40</v>
      </c>
    </row>
    <row r="90" spans="1:10" ht="15" customHeight="1" x14ac:dyDescent="0.8">
      <c r="A90" s="83">
        <v>44779</v>
      </c>
      <c r="B90" s="100" t="s">
        <v>472</v>
      </c>
      <c r="C90" s="100" t="s">
        <v>24</v>
      </c>
      <c r="D90" s="100" t="s">
        <v>8</v>
      </c>
      <c r="E90" s="100"/>
      <c r="F90" s="100"/>
      <c r="G90" s="82">
        <v>125</v>
      </c>
      <c r="H90" s="82"/>
      <c r="I90" s="82"/>
      <c r="J90" s="82">
        <f>SUM(G90:I90)</f>
        <v>125</v>
      </c>
    </row>
    <row r="91" spans="1:10" ht="15" customHeight="1" x14ac:dyDescent="0.8">
      <c r="A91" s="83">
        <v>44779</v>
      </c>
      <c r="B91" s="100" t="s">
        <v>473</v>
      </c>
      <c r="C91" s="100" t="s">
        <v>20</v>
      </c>
      <c r="D91" s="100" t="s">
        <v>8</v>
      </c>
      <c r="E91" s="100" t="s">
        <v>384</v>
      </c>
      <c r="F91" s="100"/>
      <c r="G91" s="82">
        <v>125</v>
      </c>
      <c r="H91" s="82">
        <v>40</v>
      </c>
      <c r="I91" s="82"/>
      <c r="J91" s="82">
        <f>SUM(G91:I91)</f>
        <v>165</v>
      </c>
    </row>
    <row r="92" spans="1:10" ht="15" customHeight="1" x14ac:dyDescent="0.8">
      <c r="A92" s="83">
        <v>44779</v>
      </c>
      <c r="B92" s="100" t="s">
        <v>474</v>
      </c>
      <c r="C92" s="100" t="s">
        <v>24</v>
      </c>
      <c r="D92" s="100" t="s">
        <v>33</v>
      </c>
      <c r="E92" s="100" t="s">
        <v>384</v>
      </c>
      <c r="F92" s="100"/>
      <c r="G92" s="82">
        <v>85</v>
      </c>
      <c r="H92" s="82">
        <v>40</v>
      </c>
      <c r="I92" s="82"/>
      <c r="J92" s="82">
        <f>SUM(G92:I92)</f>
        <v>125</v>
      </c>
    </row>
    <row r="93" spans="1:10" x14ac:dyDescent="0.75">
      <c r="A93" s="101"/>
      <c r="B93" s="101"/>
      <c r="C93" s="101"/>
      <c r="D93" s="101"/>
      <c r="E93" s="101"/>
      <c r="F93" s="101"/>
      <c r="G93" s="101"/>
      <c r="H93" s="101"/>
      <c r="I93" s="101"/>
      <c r="J93" s="103">
        <f>SUM(J9:J92)</f>
        <v>10915</v>
      </c>
    </row>
  </sheetData>
  <sortState xmlns:xlrd2="http://schemas.microsoft.com/office/spreadsheetml/2017/richdata2" ref="G1:G93">
    <sortCondition ref="G1:G93"/>
  </sortState>
  <conditionalFormatting sqref="B1:B1048576">
    <cfRule type="duplicateValues" dxfId="128" priority="1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1162-CC8C-4A54-9049-60AA071BA642}">
  <sheetPr>
    <tabColor rgb="FF00B050"/>
    <pageSetUpPr fitToPage="1"/>
  </sheetPr>
  <dimension ref="A1:L88"/>
  <sheetViews>
    <sheetView zoomScale="60" zoomScaleNormal="60" workbookViewId="0">
      <selection activeCell="F21" sqref="F21"/>
    </sheetView>
  </sheetViews>
  <sheetFormatPr defaultRowHeight="14.75" x14ac:dyDescent="0.75"/>
  <cols>
    <col min="1" max="1" width="30.0390625" style="115" bestFit="1" customWidth="1"/>
    <col min="2" max="2" width="17.9140625" style="115" customWidth="1"/>
    <col min="3" max="3" width="22.75" style="115" customWidth="1"/>
    <col min="4" max="4" width="31.6640625" style="152" customWidth="1"/>
    <col min="5" max="5" width="26.33203125" style="115" customWidth="1"/>
    <col min="6" max="6" width="27.83203125" style="115" customWidth="1"/>
    <col min="7" max="7" width="10.70703125" style="115" customWidth="1"/>
    <col min="8" max="8" width="9.5" style="115" customWidth="1"/>
    <col min="9" max="9" width="10.58203125" style="115" customWidth="1"/>
    <col min="10" max="10" width="9.9140625" style="115" customWidth="1"/>
    <col min="11" max="11" width="20.625" style="115" customWidth="1"/>
    <col min="12" max="16384" width="8.6640625" style="115"/>
  </cols>
  <sheetData>
    <row r="1" spans="1:11" ht="15" customHeight="1" x14ac:dyDescent="0.75">
      <c r="A1" s="238" t="s">
        <v>86</v>
      </c>
      <c r="B1" s="239"/>
      <c r="C1" s="156" t="s">
        <v>88</v>
      </c>
      <c r="D1" s="157">
        <v>44792</v>
      </c>
      <c r="E1" s="232"/>
      <c r="F1" s="233"/>
      <c r="G1" s="233"/>
      <c r="H1" s="233"/>
      <c r="I1" s="233"/>
      <c r="J1" s="234"/>
      <c r="K1" s="118"/>
    </row>
    <row r="2" spans="1:11" ht="15" customHeight="1" x14ac:dyDescent="0.75">
      <c r="A2" s="238" t="s">
        <v>87</v>
      </c>
      <c r="B2" s="239"/>
      <c r="C2" s="156" t="s">
        <v>90</v>
      </c>
      <c r="D2" s="157">
        <v>44786</v>
      </c>
      <c r="E2" s="235"/>
      <c r="F2" s="236"/>
      <c r="G2" s="236"/>
      <c r="H2" s="236"/>
      <c r="I2" s="236"/>
      <c r="J2" s="237"/>
      <c r="K2" s="118"/>
    </row>
    <row r="3" spans="1:11" ht="15" customHeight="1" x14ac:dyDescent="0.75">
      <c r="A3" s="238" t="s">
        <v>89</v>
      </c>
      <c r="B3" s="239"/>
      <c r="C3" s="156" t="s">
        <v>92</v>
      </c>
      <c r="D3" s="148">
        <v>45</v>
      </c>
      <c r="E3" s="235"/>
      <c r="F3" s="236"/>
      <c r="G3" s="236"/>
      <c r="H3" s="236"/>
      <c r="I3" s="236"/>
      <c r="J3" s="237"/>
      <c r="K3" s="118"/>
    </row>
    <row r="4" spans="1:11" ht="15" customHeight="1" x14ac:dyDescent="0.75">
      <c r="A4" s="238" t="s">
        <v>91</v>
      </c>
      <c r="B4" s="239"/>
      <c r="C4" s="156" t="s">
        <v>94</v>
      </c>
      <c r="D4" s="148" t="s">
        <v>95</v>
      </c>
      <c r="E4" s="235"/>
      <c r="F4" s="236"/>
      <c r="G4" s="236"/>
      <c r="H4" s="236"/>
      <c r="I4" s="236"/>
      <c r="J4" s="237"/>
      <c r="K4" s="118"/>
    </row>
    <row r="5" spans="1:11" ht="15" customHeight="1" x14ac:dyDescent="0.75">
      <c r="A5" s="238" t="s">
        <v>93</v>
      </c>
      <c r="B5" s="239"/>
      <c r="C5" s="156" t="s">
        <v>96</v>
      </c>
      <c r="D5" s="148"/>
      <c r="E5" s="235"/>
      <c r="F5" s="236"/>
      <c r="G5" s="236"/>
      <c r="H5" s="236"/>
      <c r="I5" s="236"/>
      <c r="J5" s="237"/>
      <c r="K5" s="118"/>
    </row>
    <row r="6" spans="1:11" ht="15" customHeight="1" x14ac:dyDescent="0.75">
      <c r="A6" s="240"/>
      <c r="B6" s="241"/>
      <c r="C6" s="156" t="s">
        <v>97</v>
      </c>
      <c r="D6" s="147">
        <f>J88</f>
        <v>10805</v>
      </c>
      <c r="E6" s="235"/>
      <c r="F6" s="236"/>
      <c r="G6" s="236"/>
      <c r="H6" s="236"/>
      <c r="I6" s="236"/>
      <c r="J6" s="237"/>
      <c r="K6" s="118"/>
    </row>
    <row r="7" spans="1:11" s="145" customFormat="1" ht="70" customHeight="1" x14ac:dyDescent="0.8">
      <c r="A7" s="153" t="s">
        <v>0</v>
      </c>
      <c r="B7" s="153" t="s">
        <v>1</v>
      </c>
      <c r="C7" s="154" t="s">
        <v>2</v>
      </c>
      <c r="D7" s="155" t="s">
        <v>3</v>
      </c>
      <c r="E7" s="120" t="s">
        <v>4</v>
      </c>
      <c r="F7" s="120" t="s">
        <v>4</v>
      </c>
      <c r="G7" s="158" t="s">
        <v>100</v>
      </c>
      <c r="H7" s="142" t="s">
        <v>98</v>
      </c>
      <c r="I7" s="142" t="s">
        <v>99</v>
      </c>
      <c r="J7" s="143" t="s">
        <v>97</v>
      </c>
      <c r="K7" s="144"/>
    </row>
    <row r="8" spans="1:11" s="118" customFormat="1" ht="15" customHeight="1" x14ac:dyDescent="0.8">
      <c r="A8" s="124">
        <v>44781</v>
      </c>
      <c r="B8" s="159" t="s">
        <v>553</v>
      </c>
      <c r="C8" s="162" t="s">
        <v>555</v>
      </c>
      <c r="D8" s="161" t="s">
        <v>15</v>
      </c>
      <c r="E8" s="160"/>
      <c r="F8" s="121"/>
      <c r="G8" s="122">
        <v>40</v>
      </c>
      <c r="H8" s="122"/>
      <c r="I8" s="122"/>
      <c r="J8" s="123"/>
    </row>
    <row r="9" spans="1:11" s="118" customFormat="1" ht="15" customHeight="1" x14ac:dyDescent="0.8">
      <c r="A9" s="124">
        <v>44781</v>
      </c>
      <c r="B9" s="125" t="s">
        <v>481</v>
      </c>
      <c r="C9" s="125" t="s">
        <v>24</v>
      </c>
      <c r="D9" s="148" t="s">
        <v>8</v>
      </c>
      <c r="E9" s="125" t="s">
        <v>384</v>
      </c>
      <c r="F9" s="122"/>
      <c r="G9" s="122">
        <v>125</v>
      </c>
      <c r="H9" s="122">
        <v>40</v>
      </c>
      <c r="I9" s="122"/>
      <c r="J9" s="122">
        <f>SUM(G9:I9)</f>
        <v>165</v>
      </c>
      <c r="K9" s="126"/>
    </row>
    <row r="10" spans="1:11" s="118" customFormat="1" ht="15" customHeight="1" x14ac:dyDescent="0.8">
      <c r="A10" s="125" t="s">
        <v>556</v>
      </c>
      <c r="B10" s="125" t="s">
        <v>522</v>
      </c>
      <c r="C10" s="125" t="s">
        <v>24</v>
      </c>
      <c r="D10" s="148" t="s">
        <v>15</v>
      </c>
      <c r="E10" s="125"/>
      <c r="F10" s="122"/>
      <c r="G10" s="122">
        <v>40</v>
      </c>
      <c r="H10" s="122"/>
      <c r="I10" s="122"/>
      <c r="J10" s="122">
        <f t="shared" ref="J10:J24" si="0">SUM(G10:I10)</f>
        <v>40</v>
      </c>
    </row>
    <row r="11" spans="1:11" s="118" customFormat="1" ht="15" customHeight="1" x14ac:dyDescent="0.8">
      <c r="A11" s="125" t="s">
        <v>556</v>
      </c>
      <c r="B11" s="125" t="s">
        <v>495</v>
      </c>
      <c r="C11" s="125" t="s">
        <v>385</v>
      </c>
      <c r="D11" s="148" t="s">
        <v>33</v>
      </c>
      <c r="E11" s="125" t="s">
        <v>384</v>
      </c>
      <c r="F11" s="122"/>
      <c r="G11" s="122">
        <v>85</v>
      </c>
      <c r="H11" s="122">
        <v>40</v>
      </c>
      <c r="I11" s="122"/>
      <c r="J11" s="122">
        <f t="shared" si="0"/>
        <v>125</v>
      </c>
      <c r="K11" s="126"/>
    </row>
    <row r="12" spans="1:11" s="118" customFormat="1" ht="15" customHeight="1" x14ac:dyDescent="0.8">
      <c r="A12" s="125" t="s">
        <v>556</v>
      </c>
      <c r="B12" s="125" t="s">
        <v>457</v>
      </c>
      <c r="C12" s="125" t="s">
        <v>20</v>
      </c>
      <c r="D12" s="148">
        <v>0</v>
      </c>
      <c r="E12" s="125"/>
      <c r="F12" s="122"/>
      <c r="G12" s="122">
        <v>85</v>
      </c>
      <c r="H12" s="122"/>
      <c r="I12" s="122"/>
      <c r="J12" s="122">
        <f t="shared" si="0"/>
        <v>85</v>
      </c>
    </row>
    <row r="13" spans="1:11" s="118" customFormat="1" ht="15" customHeight="1" x14ac:dyDescent="0.8">
      <c r="A13" s="125" t="s">
        <v>556</v>
      </c>
      <c r="B13" s="125" t="s">
        <v>487</v>
      </c>
      <c r="C13" s="125" t="s">
        <v>20</v>
      </c>
      <c r="D13" s="148" t="s">
        <v>33</v>
      </c>
      <c r="E13" s="125"/>
      <c r="F13" s="122"/>
      <c r="G13" s="122">
        <v>85</v>
      </c>
      <c r="H13" s="122"/>
      <c r="I13" s="122"/>
      <c r="J13" s="122">
        <f t="shared" si="0"/>
        <v>85</v>
      </c>
    </row>
    <row r="14" spans="1:11" s="118" customFormat="1" ht="15" customHeight="1" x14ac:dyDescent="0.8">
      <c r="A14" s="125" t="s">
        <v>556</v>
      </c>
      <c r="B14" s="125" t="s">
        <v>488</v>
      </c>
      <c r="C14" s="125" t="s">
        <v>20</v>
      </c>
      <c r="D14" s="148" t="s">
        <v>8</v>
      </c>
      <c r="E14" s="125" t="s">
        <v>384</v>
      </c>
      <c r="F14" s="122"/>
      <c r="G14" s="122">
        <v>125</v>
      </c>
      <c r="H14" s="122">
        <v>40</v>
      </c>
      <c r="I14" s="122"/>
      <c r="J14" s="122">
        <f t="shared" si="0"/>
        <v>165</v>
      </c>
      <c r="K14" s="126"/>
    </row>
    <row r="15" spans="1:11" s="118" customFormat="1" ht="16" x14ac:dyDescent="0.8">
      <c r="A15" s="125" t="s">
        <v>556</v>
      </c>
      <c r="B15" s="125" t="s">
        <v>493</v>
      </c>
      <c r="C15" s="125" t="s">
        <v>385</v>
      </c>
      <c r="D15" s="148" t="s">
        <v>8</v>
      </c>
      <c r="E15" s="125" t="s">
        <v>384</v>
      </c>
      <c r="F15" s="122"/>
      <c r="G15" s="122">
        <v>125</v>
      </c>
      <c r="H15" s="122">
        <v>40</v>
      </c>
      <c r="I15" s="122"/>
      <c r="J15" s="122">
        <f t="shared" si="0"/>
        <v>165</v>
      </c>
      <c r="K15" s="127"/>
    </row>
    <row r="16" spans="1:11" s="118" customFormat="1" ht="15" customHeight="1" x14ac:dyDescent="0.8">
      <c r="A16" s="125" t="s">
        <v>556</v>
      </c>
      <c r="B16" s="125" t="s">
        <v>492</v>
      </c>
      <c r="C16" s="125" t="s">
        <v>24</v>
      </c>
      <c r="D16" s="148" t="s">
        <v>8</v>
      </c>
      <c r="E16" s="125"/>
      <c r="F16" s="122"/>
      <c r="G16" s="122">
        <v>125</v>
      </c>
      <c r="H16" s="122"/>
      <c r="I16" s="122"/>
      <c r="J16" s="122">
        <f t="shared" si="0"/>
        <v>125</v>
      </c>
    </row>
    <row r="17" spans="1:11" s="118" customFormat="1" ht="15" customHeight="1" x14ac:dyDescent="0.8">
      <c r="A17" s="125" t="s">
        <v>556</v>
      </c>
      <c r="B17" s="125" t="s">
        <v>483</v>
      </c>
      <c r="C17" s="125" t="s">
        <v>24</v>
      </c>
      <c r="D17" s="148" t="s">
        <v>8</v>
      </c>
      <c r="E17" s="125" t="s">
        <v>384</v>
      </c>
      <c r="F17" s="122"/>
      <c r="G17" s="122">
        <v>125</v>
      </c>
      <c r="H17" s="122">
        <v>40</v>
      </c>
      <c r="I17" s="122"/>
      <c r="J17" s="122">
        <f t="shared" si="0"/>
        <v>165</v>
      </c>
      <c r="K17" s="126"/>
    </row>
    <row r="18" spans="1:11" s="118" customFormat="1" ht="15" customHeight="1" x14ac:dyDescent="0.8">
      <c r="A18" s="125" t="s">
        <v>556</v>
      </c>
      <c r="B18" s="125" t="s">
        <v>554</v>
      </c>
      <c r="C18" s="125" t="s">
        <v>20</v>
      </c>
      <c r="D18" s="148" t="s">
        <v>8</v>
      </c>
      <c r="E18" s="125" t="s">
        <v>384</v>
      </c>
      <c r="F18" s="122"/>
      <c r="G18" s="122">
        <v>125</v>
      </c>
      <c r="H18" s="122">
        <v>40</v>
      </c>
      <c r="I18" s="122"/>
      <c r="J18" s="122">
        <f t="shared" si="0"/>
        <v>165</v>
      </c>
    </row>
    <row r="19" spans="1:11" s="118" customFormat="1" ht="16" x14ac:dyDescent="0.8">
      <c r="A19" s="125" t="s">
        <v>556</v>
      </c>
      <c r="B19" s="125" t="s">
        <v>511</v>
      </c>
      <c r="C19" s="125" t="s">
        <v>24</v>
      </c>
      <c r="D19" s="148" t="s">
        <v>8</v>
      </c>
      <c r="E19" s="125"/>
      <c r="F19" s="122"/>
      <c r="G19" s="122">
        <v>125</v>
      </c>
      <c r="H19" s="122"/>
      <c r="I19" s="122"/>
      <c r="J19" s="122">
        <f t="shared" si="0"/>
        <v>125</v>
      </c>
    </row>
    <row r="20" spans="1:11" s="118" customFormat="1" ht="15" customHeight="1" x14ac:dyDescent="0.8">
      <c r="A20" s="125" t="s">
        <v>556</v>
      </c>
      <c r="B20" s="125" t="s">
        <v>505</v>
      </c>
      <c r="C20" s="125" t="s">
        <v>20</v>
      </c>
      <c r="D20" s="148" t="s">
        <v>8</v>
      </c>
      <c r="E20" s="125" t="s">
        <v>384</v>
      </c>
      <c r="F20" s="122"/>
      <c r="G20" s="122">
        <v>125</v>
      </c>
      <c r="H20" s="122">
        <v>40</v>
      </c>
      <c r="I20" s="122"/>
      <c r="J20" s="122">
        <f t="shared" si="0"/>
        <v>165</v>
      </c>
    </row>
    <row r="21" spans="1:11" s="118" customFormat="1" ht="15" customHeight="1" x14ac:dyDescent="0.8">
      <c r="A21" s="125" t="s">
        <v>556</v>
      </c>
      <c r="B21" s="125" t="s">
        <v>491</v>
      </c>
      <c r="C21" s="125" t="s">
        <v>7</v>
      </c>
      <c r="D21" s="148" t="s">
        <v>8</v>
      </c>
      <c r="E21" s="125" t="s">
        <v>384</v>
      </c>
      <c r="F21" s="122"/>
      <c r="G21" s="122">
        <v>125</v>
      </c>
      <c r="H21" s="128">
        <v>40</v>
      </c>
      <c r="I21" s="128"/>
      <c r="J21" s="122">
        <f t="shared" si="0"/>
        <v>165</v>
      </c>
    </row>
    <row r="22" spans="1:11" s="118" customFormat="1" ht="16" x14ac:dyDescent="0.8">
      <c r="A22" s="125" t="s">
        <v>556</v>
      </c>
      <c r="B22" s="125" t="s">
        <v>496</v>
      </c>
      <c r="C22" s="125" t="s">
        <v>7</v>
      </c>
      <c r="D22" s="164" t="s">
        <v>363</v>
      </c>
      <c r="E22" s="165" t="s">
        <v>563</v>
      </c>
      <c r="F22" s="122"/>
      <c r="G22" s="122">
        <v>125</v>
      </c>
      <c r="H22" s="128">
        <v>85</v>
      </c>
      <c r="I22" s="128"/>
      <c r="J22" s="122">
        <f t="shared" si="0"/>
        <v>210</v>
      </c>
    </row>
    <row r="23" spans="1:11" s="118" customFormat="1" ht="16" x14ac:dyDescent="0.8">
      <c r="A23" s="125" t="s">
        <v>556</v>
      </c>
      <c r="B23" s="125" t="s">
        <v>482</v>
      </c>
      <c r="C23" s="125" t="s">
        <v>7</v>
      </c>
      <c r="D23" s="150" t="s">
        <v>32</v>
      </c>
      <c r="E23" s="125" t="s">
        <v>384</v>
      </c>
      <c r="F23" s="125"/>
      <c r="G23" s="122">
        <v>155</v>
      </c>
      <c r="H23" s="122">
        <v>40</v>
      </c>
      <c r="I23" s="122"/>
      <c r="J23" s="122">
        <f t="shared" si="0"/>
        <v>195</v>
      </c>
    </row>
    <row r="24" spans="1:11" s="118" customFormat="1" ht="15" customHeight="1" x14ac:dyDescent="0.8">
      <c r="A24" s="125" t="s">
        <v>556</v>
      </c>
      <c r="B24" s="125" t="s">
        <v>490</v>
      </c>
      <c r="C24" s="125" t="s">
        <v>385</v>
      </c>
      <c r="D24" s="148" t="s">
        <v>8</v>
      </c>
      <c r="E24" s="129" t="s">
        <v>384</v>
      </c>
      <c r="F24" s="125"/>
      <c r="G24" s="122">
        <v>125</v>
      </c>
      <c r="H24" s="122">
        <v>40</v>
      </c>
      <c r="I24" s="125"/>
      <c r="J24" s="119">
        <f t="shared" si="0"/>
        <v>165</v>
      </c>
    </row>
    <row r="25" spans="1:11" s="133" customFormat="1" ht="15" customHeight="1" x14ac:dyDescent="0.8">
      <c r="A25" s="130" t="s">
        <v>557</v>
      </c>
      <c r="B25" s="130" t="s">
        <v>504</v>
      </c>
      <c r="C25" s="130" t="s">
        <v>20</v>
      </c>
      <c r="D25" s="148" t="s">
        <v>33</v>
      </c>
      <c r="E25" s="130"/>
      <c r="F25" s="131"/>
      <c r="G25" s="131">
        <v>85</v>
      </c>
      <c r="H25" s="131"/>
      <c r="I25" s="131"/>
      <c r="J25" s="131">
        <f>SUM(F25:I25)</f>
        <v>85</v>
      </c>
      <c r="K25" s="132"/>
    </row>
    <row r="26" spans="1:11" s="133" customFormat="1" ht="15" customHeight="1" x14ac:dyDescent="0.8">
      <c r="A26" s="130" t="s">
        <v>557</v>
      </c>
      <c r="B26" s="130" t="s">
        <v>503</v>
      </c>
      <c r="C26" s="130" t="s">
        <v>20</v>
      </c>
      <c r="D26" s="148" t="s">
        <v>33</v>
      </c>
      <c r="E26" s="130"/>
      <c r="F26" s="131"/>
      <c r="G26" s="131">
        <v>85</v>
      </c>
      <c r="H26" s="131"/>
      <c r="I26" s="131"/>
      <c r="J26" s="131">
        <f t="shared" ref="J26:J38" si="1">SUM(F26:I26)</f>
        <v>85</v>
      </c>
    </row>
    <row r="27" spans="1:11" s="133" customFormat="1" ht="15" customHeight="1" x14ac:dyDescent="0.8">
      <c r="A27" s="130" t="s">
        <v>557</v>
      </c>
      <c r="B27" s="130" t="s">
        <v>515</v>
      </c>
      <c r="C27" s="130" t="s">
        <v>7</v>
      </c>
      <c r="D27" s="148" t="s">
        <v>31</v>
      </c>
      <c r="E27" s="130" t="s">
        <v>384</v>
      </c>
      <c r="F27" s="131"/>
      <c r="G27" s="131">
        <v>125</v>
      </c>
      <c r="H27" s="131">
        <v>40</v>
      </c>
      <c r="I27" s="131"/>
      <c r="J27" s="131">
        <f t="shared" si="1"/>
        <v>165</v>
      </c>
      <c r="K27" s="132"/>
    </row>
    <row r="28" spans="1:11" s="133" customFormat="1" ht="15" customHeight="1" x14ac:dyDescent="0.8">
      <c r="A28" s="130" t="s">
        <v>557</v>
      </c>
      <c r="B28" s="130" t="s">
        <v>478</v>
      </c>
      <c r="C28" s="130" t="s">
        <v>385</v>
      </c>
      <c r="D28" s="148" t="s">
        <v>32</v>
      </c>
      <c r="E28" s="130" t="s">
        <v>384</v>
      </c>
      <c r="F28" s="131"/>
      <c r="G28" s="131">
        <v>155</v>
      </c>
      <c r="H28" s="131">
        <v>40</v>
      </c>
      <c r="I28" s="131"/>
      <c r="J28" s="131">
        <f t="shared" si="1"/>
        <v>195</v>
      </c>
    </row>
    <row r="29" spans="1:11" s="133" customFormat="1" ht="15" customHeight="1" x14ac:dyDescent="0.8">
      <c r="A29" s="130" t="s">
        <v>557</v>
      </c>
      <c r="B29" s="130" t="s">
        <v>499</v>
      </c>
      <c r="C29" s="130" t="s">
        <v>385</v>
      </c>
      <c r="D29" s="148" t="s">
        <v>31</v>
      </c>
      <c r="E29" s="130"/>
      <c r="F29" s="131"/>
      <c r="G29" s="131">
        <v>125</v>
      </c>
      <c r="H29" s="131"/>
      <c r="I29" s="131"/>
      <c r="J29" s="131">
        <f t="shared" si="1"/>
        <v>125</v>
      </c>
    </row>
    <row r="30" spans="1:11" s="133" customFormat="1" ht="15" customHeight="1" x14ac:dyDescent="0.8">
      <c r="A30" s="130" t="s">
        <v>557</v>
      </c>
      <c r="B30" s="130" t="s">
        <v>502</v>
      </c>
      <c r="C30" s="130" t="s">
        <v>20</v>
      </c>
      <c r="D30" s="148" t="s">
        <v>8</v>
      </c>
      <c r="E30" s="130" t="s">
        <v>384</v>
      </c>
      <c r="F30" s="131"/>
      <c r="G30" s="131">
        <v>125</v>
      </c>
      <c r="H30" s="131">
        <v>40</v>
      </c>
      <c r="I30" s="131"/>
      <c r="J30" s="131">
        <f t="shared" si="1"/>
        <v>165</v>
      </c>
      <c r="K30" s="132"/>
    </row>
    <row r="31" spans="1:11" s="133" customFormat="1" ht="16" x14ac:dyDescent="0.8">
      <c r="A31" s="130" t="s">
        <v>557</v>
      </c>
      <c r="B31" s="130" t="s">
        <v>485</v>
      </c>
      <c r="C31" s="130" t="s">
        <v>20</v>
      </c>
      <c r="D31" s="148" t="s">
        <v>8</v>
      </c>
      <c r="E31" s="130"/>
      <c r="F31" s="131"/>
      <c r="G31" s="131">
        <v>125</v>
      </c>
      <c r="H31" s="131"/>
      <c r="I31" s="131"/>
      <c r="J31" s="131">
        <f t="shared" si="1"/>
        <v>125</v>
      </c>
      <c r="K31" s="132"/>
    </row>
    <row r="32" spans="1:11" s="133" customFormat="1" ht="15" customHeight="1" x14ac:dyDescent="0.8">
      <c r="A32" s="130" t="s">
        <v>557</v>
      </c>
      <c r="B32" s="130" t="s">
        <v>501</v>
      </c>
      <c r="C32" s="130" t="s">
        <v>7</v>
      </c>
      <c r="D32" s="148" t="s">
        <v>8</v>
      </c>
      <c r="E32" s="130" t="s">
        <v>384</v>
      </c>
      <c r="F32" s="131"/>
      <c r="G32" s="131">
        <v>125</v>
      </c>
      <c r="H32" s="131">
        <v>40</v>
      </c>
      <c r="I32" s="131"/>
      <c r="J32" s="131">
        <f t="shared" si="1"/>
        <v>165</v>
      </c>
    </row>
    <row r="33" spans="1:11" s="133" customFormat="1" ht="16" x14ac:dyDescent="0.8">
      <c r="A33" s="130" t="s">
        <v>557</v>
      </c>
      <c r="B33" s="130" t="s">
        <v>506</v>
      </c>
      <c r="C33" s="130" t="s">
        <v>7</v>
      </c>
      <c r="D33" s="148" t="s">
        <v>8</v>
      </c>
      <c r="E33" s="130" t="s">
        <v>384</v>
      </c>
      <c r="F33" s="131"/>
      <c r="G33" s="131">
        <v>125</v>
      </c>
      <c r="H33" s="131">
        <v>40</v>
      </c>
      <c r="I33" s="131"/>
      <c r="J33" s="131">
        <f t="shared" si="1"/>
        <v>165</v>
      </c>
      <c r="K33" s="134"/>
    </row>
    <row r="34" spans="1:11" s="133" customFormat="1" ht="16" x14ac:dyDescent="0.8">
      <c r="A34" s="130" t="s">
        <v>557</v>
      </c>
      <c r="B34" s="130" t="s">
        <v>519</v>
      </c>
      <c r="C34" s="130" t="s">
        <v>385</v>
      </c>
      <c r="D34" s="148" t="s">
        <v>8</v>
      </c>
      <c r="E34" s="130"/>
      <c r="F34" s="131"/>
      <c r="G34" s="131">
        <v>125</v>
      </c>
      <c r="H34" s="131">
        <v>45</v>
      </c>
      <c r="I34" s="131"/>
      <c r="J34" s="131">
        <f t="shared" si="1"/>
        <v>170</v>
      </c>
    </row>
    <row r="35" spans="1:11" s="133" customFormat="1" ht="15" customHeight="1" x14ac:dyDescent="0.8">
      <c r="A35" s="130" t="s">
        <v>557</v>
      </c>
      <c r="B35" s="130" t="s">
        <v>512</v>
      </c>
      <c r="C35" s="130" t="s">
        <v>20</v>
      </c>
      <c r="D35" s="148" t="s">
        <v>8</v>
      </c>
      <c r="E35" s="130" t="s">
        <v>384</v>
      </c>
      <c r="F35" s="131"/>
      <c r="G35" s="131">
        <v>125</v>
      </c>
      <c r="H35" s="131">
        <v>40</v>
      </c>
      <c r="I35" s="131"/>
      <c r="J35" s="131">
        <f t="shared" si="1"/>
        <v>165</v>
      </c>
    </row>
    <row r="36" spans="1:11" s="133" customFormat="1" ht="15" customHeight="1" x14ac:dyDescent="0.8">
      <c r="A36" s="130" t="s">
        <v>557</v>
      </c>
      <c r="B36" s="130" t="s">
        <v>520</v>
      </c>
      <c r="C36" s="130" t="s">
        <v>385</v>
      </c>
      <c r="D36" s="148" t="s">
        <v>8</v>
      </c>
      <c r="E36" s="130"/>
      <c r="F36" s="131"/>
      <c r="G36" s="131">
        <v>125</v>
      </c>
      <c r="H36" s="131"/>
      <c r="I36" s="131"/>
      <c r="J36" s="131">
        <f t="shared" si="1"/>
        <v>125</v>
      </c>
    </row>
    <row r="37" spans="1:11" s="133" customFormat="1" ht="15" customHeight="1" x14ac:dyDescent="0.8">
      <c r="A37" s="130" t="s">
        <v>557</v>
      </c>
      <c r="B37" s="130" t="s">
        <v>500</v>
      </c>
      <c r="C37" s="130" t="s">
        <v>20</v>
      </c>
      <c r="D37" s="148" t="s">
        <v>8</v>
      </c>
      <c r="E37" s="130" t="s">
        <v>384</v>
      </c>
      <c r="F37" s="131"/>
      <c r="G37" s="131">
        <v>125</v>
      </c>
      <c r="H37" s="131">
        <v>40</v>
      </c>
      <c r="I37" s="131"/>
      <c r="J37" s="131">
        <f t="shared" si="1"/>
        <v>165</v>
      </c>
    </row>
    <row r="38" spans="1:11" s="133" customFormat="1" ht="15" customHeight="1" x14ac:dyDescent="0.8">
      <c r="A38" s="130" t="s">
        <v>557</v>
      </c>
      <c r="B38" s="130" t="s">
        <v>484</v>
      </c>
      <c r="C38" s="130" t="s">
        <v>7</v>
      </c>
      <c r="D38" s="148" t="s">
        <v>8</v>
      </c>
      <c r="E38" s="130" t="s">
        <v>384</v>
      </c>
      <c r="F38" s="131"/>
      <c r="G38" s="131">
        <v>125</v>
      </c>
      <c r="H38" s="131">
        <v>40</v>
      </c>
      <c r="I38" s="131"/>
      <c r="J38" s="131">
        <f t="shared" si="1"/>
        <v>165</v>
      </c>
    </row>
    <row r="39" spans="1:11" s="137" customFormat="1" ht="15" customHeight="1" x14ac:dyDescent="0.8">
      <c r="A39" s="125" t="s">
        <v>558</v>
      </c>
      <c r="B39" s="125" t="s">
        <v>517</v>
      </c>
      <c r="C39" s="125" t="s">
        <v>20</v>
      </c>
      <c r="D39" s="148" t="s">
        <v>33</v>
      </c>
      <c r="E39" s="135"/>
      <c r="F39" s="128"/>
      <c r="G39" s="128">
        <v>85</v>
      </c>
      <c r="H39" s="128"/>
      <c r="I39" s="128"/>
      <c r="J39" s="128">
        <f>SUM(G39:I39)</f>
        <v>85</v>
      </c>
      <c r="K39" s="136"/>
    </row>
    <row r="40" spans="1:11" s="137" customFormat="1" ht="15" customHeight="1" x14ac:dyDescent="0.8">
      <c r="A40" s="125" t="s">
        <v>558</v>
      </c>
      <c r="B40" s="125" t="s">
        <v>516</v>
      </c>
      <c r="C40" s="125" t="s">
        <v>20</v>
      </c>
      <c r="D40" s="148" t="s">
        <v>33</v>
      </c>
      <c r="E40" s="135"/>
      <c r="F40" s="128"/>
      <c r="G40" s="128">
        <v>85</v>
      </c>
      <c r="H40" s="128"/>
      <c r="I40" s="128"/>
      <c r="J40" s="128">
        <f t="shared" ref="J40:J47" si="2">SUM(G40:I40)</f>
        <v>85</v>
      </c>
    </row>
    <row r="41" spans="1:11" s="137" customFormat="1" ht="15" customHeight="1" x14ac:dyDescent="0.8">
      <c r="A41" s="125" t="s">
        <v>558</v>
      </c>
      <c r="B41" s="125" t="s">
        <v>510</v>
      </c>
      <c r="C41" s="125" t="s">
        <v>20</v>
      </c>
      <c r="D41" s="148" t="s">
        <v>8</v>
      </c>
      <c r="E41" s="125" t="s">
        <v>384</v>
      </c>
      <c r="F41" s="128"/>
      <c r="G41" s="128">
        <v>125</v>
      </c>
      <c r="H41" s="128">
        <v>40</v>
      </c>
      <c r="I41" s="128"/>
      <c r="J41" s="128">
        <f t="shared" si="2"/>
        <v>165</v>
      </c>
      <c r="K41" s="136"/>
    </row>
    <row r="42" spans="1:11" s="137" customFormat="1" ht="15" customHeight="1" x14ac:dyDescent="0.8">
      <c r="A42" s="125" t="s">
        <v>558</v>
      </c>
      <c r="B42" s="125" t="s">
        <v>486</v>
      </c>
      <c r="C42" s="125" t="s">
        <v>20</v>
      </c>
      <c r="D42" s="148" t="s">
        <v>31</v>
      </c>
      <c r="E42" s="125" t="s">
        <v>384</v>
      </c>
      <c r="F42" s="128"/>
      <c r="G42" s="128">
        <v>125</v>
      </c>
      <c r="H42" s="128">
        <v>40</v>
      </c>
      <c r="I42" s="128"/>
      <c r="J42" s="128">
        <f t="shared" si="2"/>
        <v>165</v>
      </c>
    </row>
    <row r="43" spans="1:11" s="137" customFormat="1" ht="15" customHeight="1" x14ac:dyDescent="0.8">
      <c r="A43" s="125" t="s">
        <v>558</v>
      </c>
      <c r="B43" s="125" t="s">
        <v>509</v>
      </c>
      <c r="C43" s="125" t="s">
        <v>385</v>
      </c>
      <c r="D43" s="148" t="s">
        <v>8</v>
      </c>
      <c r="E43" s="125"/>
      <c r="F43" s="128"/>
      <c r="G43" s="128">
        <v>125</v>
      </c>
      <c r="H43" s="128"/>
      <c r="I43" s="128"/>
      <c r="J43" s="128">
        <f t="shared" si="2"/>
        <v>125</v>
      </c>
    </row>
    <row r="44" spans="1:11" s="137" customFormat="1" ht="15" customHeight="1" x14ac:dyDescent="0.8">
      <c r="A44" s="125" t="s">
        <v>558</v>
      </c>
      <c r="B44" s="125" t="s">
        <v>507</v>
      </c>
      <c r="C44" s="125" t="s">
        <v>385</v>
      </c>
      <c r="D44" s="148" t="s">
        <v>8</v>
      </c>
      <c r="E44" s="125" t="s">
        <v>384</v>
      </c>
      <c r="F44" s="128"/>
      <c r="G44" s="128">
        <v>125</v>
      </c>
      <c r="H44" s="128">
        <v>40</v>
      </c>
      <c r="I44" s="128"/>
      <c r="J44" s="128">
        <f t="shared" si="2"/>
        <v>165</v>
      </c>
      <c r="K44" s="136"/>
    </row>
    <row r="45" spans="1:11" s="137" customFormat="1" ht="15" customHeight="1" x14ac:dyDescent="0.8">
      <c r="A45" s="125" t="s">
        <v>558</v>
      </c>
      <c r="B45" s="125" t="s">
        <v>525</v>
      </c>
      <c r="C45" s="125" t="s">
        <v>24</v>
      </c>
      <c r="D45" s="148" t="s">
        <v>8</v>
      </c>
      <c r="E45" s="125" t="s">
        <v>384</v>
      </c>
      <c r="F45" s="128"/>
      <c r="G45" s="128">
        <v>125</v>
      </c>
      <c r="H45" s="128">
        <v>40</v>
      </c>
      <c r="I45" s="128"/>
      <c r="J45" s="128">
        <f t="shared" si="2"/>
        <v>165</v>
      </c>
      <c r="K45" s="136"/>
    </row>
    <row r="46" spans="1:11" s="137" customFormat="1" ht="15" customHeight="1" x14ac:dyDescent="0.8">
      <c r="A46" s="125" t="s">
        <v>558</v>
      </c>
      <c r="B46" s="125" t="s">
        <v>535</v>
      </c>
      <c r="C46" s="125" t="s">
        <v>24</v>
      </c>
      <c r="D46" s="148" t="s">
        <v>15</v>
      </c>
      <c r="E46" s="135"/>
      <c r="F46" s="128"/>
      <c r="G46" s="128">
        <v>40</v>
      </c>
      <c r="H46" s="128"/>
      <c r="I46" s="128"/>
      <c r="J46" s="128">
        <f t="shared" si="2"/>
        <v>40</v>
      </c>
    </row>
    <row r="47" spans="1:11" s="118" customFormat="1" ht="15" customHeight="1" x14ac:dyDescent="0.8">
      <c r="A47" s="138" t="s">
        <v>558</v>
      </c>
      <c r="B47" s="139" t="s">
        <v>494</v>
      </c>
      <c r="C47" s="138" t="s">
        <v>24</v>
      </c>
      <c r="D47" s="151" t="s">
        <v>8</v>
      </c>
      <c r="E47" s="138"/>
      <c r="F47" s="138"/>
      <c r="G47" s="140">
        <v>125</v>
      </c>
      <c r="H47" s="138"/>
      <c r="I47" s="138"/>
      <c r="J47" s="141">
        <f t="shared" si="2"/>
        <v>125</v>
      </c>
    </row>
    <row r="48" spans="1:11" s="118" customFormat="1" ht="15" customHeight="1" x14ac:dyDescent="0.8">
      <c r="A48" s="125" t="s">
        <v>558</v>
      </c>
      <c r="B48" s="125" t="s">
        <v>539</v>
      </c>
      <c r="C48" s="125" t="s">
        <v>20</v>
      </c>
      <c r="D48" s="149" t="s">
        <v>17</v>
      </c>
      <c r="E48" s="125" t="s">
        <v>384</v>
      </c>
      <c r="F48" s="125"/>
      <c r="G48" s="122">
        <v>105</v>
      </c>
      <c r="H48" s="122">
        <v>40</v>
      </c>
      <c r="I48" s="125"/>
      <c r="J48" s="119">
        <f>SUM(G48:I48)</f>
        <v>145</v>
      </c>
    </row>
    <row r="49" spans="1:11" s="137" customFormat="1" ht="15" customHeight="1" x14ac:dyDescent="0.8">
      <c r="A49" s="125" t="s">
        <v>559</v>
      </c>
      <c r="B49" s="125" t="s">
        <v>528</v>
      </c>
      <c r="C49" s="125" t="s">
        <v>7</v>
      </c>
      <c r="D49" s="148" t="s">
        <v>8</v>
      </c>
      <c r="E49" s="125" t="s">
        <v>384</v>
      </c>
      <c r="F49" s="125" t="s">
        <v>21</v>
      </c>
      <c r="G49" s="128">
        <v>125</v>
      </c>
      <c r="H49" s="128">
        <v>40</v>
      </c>
      <c r="I49" s="128">
        <v>45</v>
      </c>
      <c r="J49" s="128">
        <f>SUM(G49:I49)</f>
        <v>210</v>
      </c>
      <c r="K49" s="136"/>
    </row>
    <row r="50" spans="1:11" s="137" customFormat="1" ht="15" customHeight="1" x14ac:dyDescent="0.8">
      <c r="A50" s="125" t="s">
        <v>559</v>
      </c>
      <c r="B50" s="125" t="s">
        <v>508</v>
      </c>
      <c r="C50" s="125" t="s">
        <v>385</v>
      </c>
      <c r="D50" s="148" t="s">
        <v>8</v>
      </c>
      <c r="E50" s="125" t="s">
        <v>384</v>
      </c>
      <c r="F50" s="125"/>
      <c r="G50" s="128">
        <v>125</v>
      </c>
      <c r="H50" s="128">
        <v>40</v>
      </c>
      <c r="I50" s="128"/>
      <c r="J50" s="128">
        <f t="shared" ref="J50:J61" si="3">SUM(G50:I50)</f>
        <v>165</v>
      </c>
    </row>
    <row r="51" spans="1:11" s="137" customFormat="1" ht="15" customHeight="1" x14ac:dyDescent="0.8">
      <c r="A51" s="125" t="s">
        <v>559</v>
      </c>
      <c r="B51" s="125" t="s">
        <v>514</v>
      </c>
      <c r="C51" s="125" t="s">
        <v>385</v>
      </c>
      <c r="D51" s="148" t="s">
        <v>33</v>
      </c>
      <c r="E51" s="125" t="s">
        <v>384</v>
      </c>
      <c r="F51" s="125"/>
      <c r="G51" s="128">
        <v>85</v>
      </c>
      <c r="H51" s="128">
        <v>40</v>
      </c>
      <c r="I51" s="128"/>
      <c r="J51" s="128">
        <f t="shared" si="3"/>
        <v>125</v>
      </c>
      <c r="K51" s="136"/>
    </row>
    <row r="52" spans="1:11" s="137" customFormat="1" ht="15" customHeight="1" x14ac:dyDescent="0.8">
      <c r="A52" s="125" t="s">
        <v>559</v>
      </c>
      <c r="B52" s="125" t="s">
        <v>543</v>
      </c>
      <c r="C52" s="125" t="s">
        <v>24</v>
      </c>
      <c r="D52" s="148" t="s">
        <v>15</v>
      </c>
      <c r="E52" s="125"/>
      <c r="F52" s="125"/>
      <c r="G52" s="128">
        <v>40</v>
      </c>
      <c r="H52" s="128"/>
      <c r="I52" s="128"/>
      <c r="J52" s="128">
        <f t="shared" si="3"/>
        <v>40</v>
      </c>
    </row>
    <row r="53" spans="1:11" s="137" customFormat="1" ht="15" customHeight="1" x14ac:dyDescent="0.8">
      <c r="A53" s="125" t="s">
        <v>559</v>
      </c>
      <c r="B53" s="125" t="s">
        <v>524</v>
      </c>
      <c r="C53" s="125" t="s">
        <v>20</v>
      </c>
      <c r="D53" s="148" t="s">
        <v>8</v>
      </c>
      <c r="E53" s="125" t="s">
        <v>384</v>
      </c>
      <c r="F53" s="125"/>
      <c r="G53" s="128">
        <v>125</v>
      </c>
      <c r="H53" s="128">
        <v>40</v>
      </c>
      <c r="I53" s="128"/>
      <c r="J53" s="128">
        <f t="shared" si="3"/>
        <v>165</v>
      </c>
    </row>
    <row r="54" spans="1:11" s="137" customFormat="1" ht="15" customHeight="1" x14ac:dyDescent="0.8">
      <c r="A54" s="125" t="s">
        <v>559</v>
      </c>
      <c r="B54" s="125" t="s">
        <v>544</v>
      </c>
      <c r="C54" s="125" t="s">
        <v>385</v>
      </c>
      <c r="D54" s="148" t="s">
        <v>33</v>
      </c>
      <c r="E54" s="125"/>
      <c r="F54" s="125"/>
      <c r="G54" s="128">
        <v>85</v>
      </c>
      <c r="H54" s="128"/>
      <c r="I54" s="128"/>
      <c r="J54" s="128">
        <f t="shared" si="3"/>
        <v>85</v>
      </c>
      <c r="K54" s="136"/>
    </row>
    <row r="55" spans="1:11" s="137" customFormat="1" ht="15" customHeight="1" x14ac:dyDescent="0.8">
      <c r="A55" s="125" t="s">
        <v>559</v>
      </c>
      <c r="B55" s="125" t="s">
        <v>479</v>
      </c>
      <c r="C55" s="125" t="s">
        <v>24</v>
      </c>
      <c r="D55" s="148" t="s">
        <v>17</v>
      </c>
      <c r="E55" s="125" t="s">
        <v>384</v>
      </c>
      <c r="F55" s="125"/>
      <c r="G55" s="128">
        <v>105</v>
      </c>
      <c r="H55" s="128">
        <v>40</v>
      </c>
      <c r="I55" s="128"/>
      <c r="J55" s="128">
        <f t="shared" si="3"/>
        <v>145</v>
      </c>
      <c r="K55" s="136"/>
    </row>
    <row r="56" spans="1:11" s="137" customFormat="1" ht="15" customHeight="1" x14ac:dyDescent="0.8">
      <c r="A56" s="125" t="s">
        <v>559</v>
      </c>
      <c r="B56" s="125" t="s">
        <v>532</v>
      </c>
      <c r="C56" s="125" t="s">
        <v>20</v>
      </c>
      <c r="D56" s="148" t="s">
        <v>8</v>
      </c>
      <c r="E56" s="125" t="s">
        <v>384</v>
      </c>
      <c r="F56" s="125"/>
      <c r="G56" s="128">
        <v>125</v>
      </c>
      <c r="H56" s="128">
        <v>40</v>
      </c>
      <c r="I56" s="128"/>
      <c r="J56" s="128">
        <f t="shared" si="3"/>
        <v>165</v>
      </c>
    </row>
    <row r="57" spans="1:11" s="137" customFormat="1" ht="15" customHeight="1" x14ac:dyDescent="0.8">
      <c r="A57" s="125" t="s">
        <v>559</v>
      </c>
      <c r="B57" s="125" t="s">
        <v>526</v>
      </c>
      <c r="C57" s="125" t="s">
        <v>385</v>
      </c>
      <c r="D57" s="148" t="s">
        <v>17</v>
      </c>
      <c r="E57" s="125"/>
      <c r="F57" s="125"/>
      <c r="G57" s="128">
        <v>105</v>
      </c>
      <c r="H57" s="128"/>
      <c r="I57" s="128"/>
      <c r="J57" s="128">
        <f t="shared" si="3"/>
        <v>105</v>
      </c>
      <c r="K57" s="136"/>
    </row>
    <row r="58" spans="1:11" s="137" customFormat="1" ht="15" customHeight="1" x14ac:dyDescent="0.8">
      <c r="A58" s="125" t="s">
        <v>559</v>
      </c>
      <c r="B58" s="125" t="s">
        <v>531</v>
      </c>
      <c r="C58" s="125" t="s">
        <v>24</v>
      </c>
      <c r="D58" s="148" t="s">
        <v>15</v>
      </c>
      <c r="E58" s="125"/>
      <c r="F58" s="125"/>
      <c r="G58" s="128">
        <v>40</v>
      </c>
      <c r="H58" s="128"/>
      <c r="I58" s="128"/>
      <c r="J58" s="128">
        <f t="shared" si="3"/>
        <v>40</v>
      </c>
    </row>
    <row r="59" spans="1:11" s="137" customFormat="1" ht="15" customHeight="1" x14ac:dyDescent="0.8">
      <c r="A59" s="125" t="s">
        <v>559</v>
      </c>
      <c r="B59" s="125" t="s">
        <v>513</v>
      </c>
      <c r="C59" s="125" t="s">
        <v>24</v>
      </c>
      <c r="D59" s="148" t="s">
        <v>8</v>
      </c>
      <c r="E59" s="125"/>
      <c r="F59" s="125"/>
      <c r="G59" s="128">
        <v>125</v>
      </c>
      <c r="H59" s="128"/>
      <c r="I59" s="128"/>
      <c r="J59" s="128">
        <f t="shared" si="3"/>
        <v>125</v>
      </c>
    </row>
    <row r="60" spans="1:11" s="137" customFormat="1" ht="15" customHeight="1" x14ac:dyDescent="0.8">
      <c r="A60" s="125" t="s">
        <v>559</v>
      </c>
      <c r="B60" s="125" t="s">
        <v>527</v>
      </c>
      <c r="C60" s="125" t="s">
        <v>20</v>
      </c>
      <c r="D60" s="148" t="s">
        <v>8</v>
      </c>
      <c r="E60" s="125" t="s">
        <v>384</v>
      </c>
      <c r="F60" s="125"/>
      <c r="G60" s="128">
        <v>125</v>
      </c>
      <c r="H60" s="128">
        <v>40</v>
      </c>
      <c r="I60" s="128"/>
      <c r="J60" s="128">
        <f t="shared" si="3"/>
        <v>165</v>
      </c>
    </row>
    <row r="61" spans="1:11" s="137" customFormat="1" ht="15" customHeight="1" x14ac:dyDescent="0.8">
      <c r="A61" s="125" t="s">
        <v>559</v>
      </c>
      <c r="B61" s="130" t="s">
        <v>546</v>
      </c>
      <c r="C61" s="125" t="s">
        <v>20</v>
      </c>
      <c r="D61" s="148" t="s">
        <v>8</v>
      </c>
      <c r="E61" s="135"/>
      <c r="F61" s="128"/>
      <c r="G61" s="128">
        <v>125</v>
      </c>
      <c r="H61" s="128"/>
      <c r="I61" s="128"/>
      <c r="J61" s="128">
        <f t="shared" si="3"/>
        <v>125</v>
      </c>
    </row>
    <row r="62" spans="1:11" s="137" customFormat="1" ht="15" customHeight="1" x14ac:dyDescent="0.8">
      <c r="A62" s="125" t="s">
        <v>560</v>
      </c>
      <c r="B62" s="125" t="s">
        <v>533</v>
      </c>
      <c r="C62" s="125" t="s">
        <v>7</v>
      </c>
      <c r="D62" s="148" t="s">
        <v>8</v>
      </c>
      <c r="E62" s="125" t="s">
        <v>384</v>
      </c>
      <c r="F62" s="125" t="s">
        <v>21</v>
      </c>
      <c r="G62" s="128">
        <v>125</v>
      </c>
      <c r="H62" s="128">
        <v>40</v>
      </c>
      <c r="I62" s="128">
        <v>45</v>
      </c>
      <c r="J62" s="128">
        <f>SUM(G62:I62)</f>
        <v>210</v>
      </c>
      <c r="K62" s="136"/>
    </row>
    <row r="63" spans="1:11" s="137" customFormat="1" ht="15" customHeight="1" x14ac:dyDescent="0.8">
      <c r="A63" s="125" t="s">
        <v>560</v>
      </c>
      <c r="B63" s="125" t="s">
        <v>550</v>
      </c>
      <c r="C63" s="125" t="s">
        <v>385</v>
      </c>
      <c r="D63" s="148" t="s">
        <v>8</v>
      </c>
      <c r="E63" s="125"/>
      <c r="F63" s="125"/>
      <c r="G63" s="128">
        <v>125</v>
      </c>
      <c r="H63" s="128"/>
      <c r="I63" s="128"/>
      <c r="J63" s="128">
        <f t="shared" ref="J63:J79" si="4">SUM(G63:I63)</f>
        <v>125</v>
      </c>
    </row>
    <row r="64" spans="1:11" s="137" customFormat="1" ht="15" customHeight="1" x14ac:dyDescent="0.8">
      <c r="A64" s="125" t="s">
        <v>560</v>
      </c>
      <c r="B64" s="125" t="s">
        <v>480</v>
      </c>
      <c r="C64" s="125" t="s">
        <v>24</v>
      </c>
      <c r="D64" s="148" t="s">
        <v>8</v>
      </c>
      <c r="E64" s="125" t="s">
        <v>384</v>
      </c>
      <c r="F64" s="125"/>
      <c r="G64" s="128">
        <v>125</v>
      </c>
      <c r="H64" s="128">
        <v>40</v>
      </c>
      <c r="I64" s="128"/>
      <c r="J64" s="128">
        <f t="shared" si="4"/>
        <v>165</v>
      </c>
      <c r="K64" s="136"/>
    </row>
    <row r="65" spans="1:11" s="137" customFormat="1" ht="15" customHeight="1" x14ac:dyDescent="0.8">
      <c r="A65" s="125" t="s">
        <v>560</v>
      </c>
      <c r="B65" s="125" t="s">
        <v>549</v>
      </c>
      <c r="C65" s="125" t="s">
        <v>20</v>
      </c>
      <c r="D65" s="148" t="s">
        <v>8</v>
      </c>
      <c r="E65" s="125"/>
      <c r="F65" s="125"/>
      <c r="G65" s="128">
        <v>125</v>
      </c>
      <c r="H65" s="128"/>
      <c r="I65" s="128"/>
      <c r="J65" s="128">
        <f t="shared" si="4"/>
        <v>125</v>
      </c>
    </row>
    <row r="66" spans="1:11" s="137" customFormat="1" ht="15" customHeight="1" x14ac:dyDescent="0.8">
      <c r="A66" s="125" t="s">
        <v>560</v>
      </c>
      <c r="B66" s="125" t="s">
        <v>489</v>
      </c>
      <c r="C66" s="125" t="s">
        <v>20</v>
      </c>
      <c r="D66" s="148" t="s">
        <v>33</v>
      </c>
      <c r="E66" s="125"/>
      <c r="F66" s="125"/>
      <c r="G66" s="128">
        <v>85</v>
      </c>
      <c r="H66" s="128"/>
      <c r="I66" s="128"/>
      <c r="J66" s="128">
        <f t="shared" si="4"/>
        <v>85</v>
      </c>
    </row>
    <row r="67" spans="1:11" s="137" customFormat="1" ht="15" customHeight="1" x14ac:dyDescent="0.8">
      <c r="A67" s="125" t="s">
        <v>560</v>
      </c>
      <c r="B67" s="125" t="s">
        <v>548</v>
      </c>
      <c r="C67" s="125" t="s">
        <v>20</v>
      </c>
      <c r="D67" s="148" t="s">
        <v>33</v>
      </c>
      <c r="E67" s="125"/>
      <c r="F67" s="125"/>
      <c r="G67" s="128">
        <v>85</v>
      </c>
      <c r="H67" s="128"/>
      <c r="I67" s="128"/>
      <c r="J67" s="128">
        <f t="shared" si="4"/>
        <v>85</v>
      </c>
      <c r="K67" s="136"/>
    </row>
    <row r="68" spans="1:11" s="137" customFormat="1" ht="15" customHeight="1" x14ac:dyDescent="0.8">
      <c r="A68" s="125" t="s">
        <v>560</v>
      </c>
      <c r="B68" s="125" t="s">
        <v>523</v>
      </c>
      <c r="C68" s="125" t="s">
        <v>385</v>
      </c>
      <c r="D68" s="148" t="s">
        <v>32</v>
      </c>
      <c r="E68" s="125" t="s">
        <v>384</v>
      </c>
      <c r="F68" s="125"/>
      <c r="G68" s="128">
        <v>155</v>
      </c>
      <c r="H68" s="128">
        <v>40</v>
      </c>
      <c r="I68" s="128"/>
      <c r="J68" s="128">
        <f t="shared" si="4"/>
        <v>195</v>
      </c>
      <c r="K68" s="136"/>
    </row>
    <row r="69" spans="1:11" s="137" customFormat="1" ht="15" customHeight="1" x14ac:dyDescent="0.8">
      <c r="A69" s="125" t="s">
        <v>560</v>
      </c>
      <c r="B69" s="125" t="s">
        <v>530</v>
      </c>
      <c r="C69" s="125" t="s">
        <v>24</v>
      </c>
      <c r="D69" s="148" t="s">
        <v>15</v>
      </c>
      <c r="E69" s="125"/>
      <c r="F69" s="125"/>
      <c r="G69" s="128">
        <v>40</v>
      </c>
      <c r="H69" s="128"/>
      <c r="I69" s="128"/>
      <c r="J69" s="128">
        <f t="shared" si="4"/>
        <v>40</v>
      </c>
    </row>
    <row r="70" spans="1:11" s="137" customFormat="1" ht="15" customHeight="1" x14ac:dyDescent="0.8">
      <c r="A70" s="125" t="s">
        <v>560</v>
      </c>
      <c r="B70" s="125" t="s">
        <v>542</v>
      </c>
      <c r="C70" s="125" t="s">
        <v>24</v>
      </c>
      <c r="D70" s="148" t="s">
        <v>8</v>
      </c>
      <c r="E70" s="125" t="s">
        <v>384</v>
      </c>
      <c r="F70" s="125"/>
      <c r="G70" s="128">
        <v>125</v>
      </c>
      <c r="H70" s="128">
        <v>40</v>
      </c>
      <c r="I70" s="128"/>
      <c r="J70" s="128">
        <f t="shared" si="4"/>
        <v>165</v>
      </c>
      <c r="K70" s="136"/>
    </row>
    <row r="71" spans="1:11" s="137" customFormat="1" ht="15" customHeight="1" x14ac:dyDescent="0.8">
      <c r="A71" s="125" t="s">
        <v>560</v>
      </c>
      <c r="B71" s="125" t="s">
        <v>538</v>
      </c>
      <c r="C71" s="125" t="s">
        <v>20</v>
      </c>
      <c r="D71" s="148" t="s">
        <v>33</v>
      </c>
      <c r="E71" s="125" t="s">
        <v>384</v>
      </c>
      <c r="F71" s="125"/>
      <c r="G71" s="128">
        <v>85</v>
      </c>
      <c r="H71" s="128">
        <v>40</v>
      </c>
      <c r="I71" s="128"/>
      <c r="J71" s="128">
        <f t="shared" si="4"/>
        <v>125</v>
      </c>
    </row>
    <row r="72" spans="1:11" s="137" customFormat="1" ht="15" customHeight="1" x14ac:dyDescent="0.8">
      <c r="A72" s="125" t="s">
        <v>560</v>
      </c>
      <c r="B72" s="125" t="s">
        <v>518</v>
      </c>
      <c r="C72" s="125" t="s">
        <v>20</v>
      </c>
      <c r="D72" s="148" t="s">
        <v>31</v>
      </c>
      <c r="E72" s="125" t="s">
        <v>384</v>
      </c>
      <c r="F72" s="125"/>
      <c r="G72" s="128">
        <v>125</v>
      </c>
      <c r="H72" s="128">
        <v>40</v>
      </c>
      <c r="I72" s="128"/>
      <c r="J72" s="128">
        <f t="shared" si="4"/>
        <v>165</v>
      </c>
    </row>
    <row r="73" spans="1:11" s="137" customFormat="1" ht="15" customHeight="1" x14ac:dyDescent="0.8">
      <c r="A73" s="125" t="s">
        <v>560</v>
      </c>
      <c r="B73" s="125" t="s">
        <v>540</v>
      </c>
      <c r="C73" s="125" t="s">
        <v>385</v>
      </c>
      <c r="D73" s="148" t="s">
        <v>17</v>
      </c>
      <c r="E73" s="125"/>
      <c r="F73" s="125"/>
      <c r="G73" s="128">
        <v>105</v>
      </c>
      <c r="H73" s="128"/>
      <c r="I73" s="128"/>
      <c r="J73" s="128">
        <f t="shared" si="4"/>
        <v>105</v>
      </c>
    </row>
    <row r="74" spans="1:11" s="137" customFormat="1" ht="16" x14ac:dyDescent="0.8">
      <c r="A74" s="125" t="s">
        <v>560</v>
      </c>
      <c r="B74" s="125" t="s">
        <v>537</v>
      </c>
      <c r="C74" s="125" t="s">
        <v>385</v>
      </c>
      <c r="D74" s="148" t="s">
        <v>33</v>
      </c>
      <c r="E74" s="125"/>
      <c r="F74" s="125"/>
      <c r="G74" s="128">
        <v>85</v>
      </c>
      <c r="H74" s="128"/>
      <c r="I74" s="128"/>
      <c r="J74" s="128">
        <f t="shared" si="4"/>
        <v>85</v>
      </c>
    </row>
    <row r="75" spans="1:11" s="118" customFormat="1" ht="16" x14ac:dyDescent="0.8">
      <c r="A75" s="125" t="s">
        <v>560</v>
      </c>
      <c r="B75" s="125" t="s">
        <v>498</v>
      </c>
      <c r="C75" s="125" t="s">
        <v>20</v>
      </c>
      <c r="D75" s="148" t="s">
        <v>33</v>
      </c>
      <c r="E75" s="125" t="s">
        <v>384</v>
      </c>
      <c r="F75" s="125"/>
      <c r="G75" s="122">
        <v>85</v>
      </c>
      <c r="H75" s="122">
        <v>40</v>
      </c>
      <c r="I75" s="122"/>
      <c r="J75" s="128">
        <f t="shared" si="4"/>
        <v>125</v>
      </c>
    </row>
    <row r="76" spans="1:11" s="118" customFormat="1" ht="16" x14ac:dyDescent="0.8">
      <c r="A76" s="125" t="s">
        <v>560</v>
      </c>
      <c r="B76" s="125" t="s">
        <v>521</v>
      </c>
      <c r="C76" s="125" t="s">
        <v>20</v>
      </c>
      <c r="D76" s="148" t="s">
        <v>8</v>
      </c>
      <c r="E76" s="125" t="s">
        <v>21</v>
      </c>
      <c r="F76" s="125" t="s">
        <v>384</v>
      </c>
      <c r="G76" s="122">
        <v>125</v>
      </c>
      <c r="H76" s="122">
        <v>90</v>
      </c>
      <c r="I76" s="122">
        <v>40</v>
      </c>
      <c r="J76" s="128">
        <f t="shared" si="4"/>
        <v>255</v>
      </c>
    </row>
    <row r="77" spans="1:11" s="118" customFormat="1" ht="16" x14ac:dyDescent="0.8">
      <c r="A77" s="125" t="s">
        <v>560</v>
      </c>
      <c r="B77" s="125" t="s">
        <v>552</v>
      </c>
      <c r="C77" s="125" t="s">
        <v>385</v>
      </c>
      <c r="D77" s="148" t="s">
        <v>8</v>
      </c>
      <c r="E77" s="125" t="s">
        <v>21</v>
      </c>
      <c r="F77" s="125" t="s">
        <v>384</v>
      </c>
      <c r="G77" s="122">
        <v>125</v>
      </c>
      <c r="H77" s="122">
        <v>45</v>
      </c>
      <c r="I77" s="122">
        <v>40</v>
      </c>
      <c r="J77" s="128">
        <f t="shared" si="4"/>
        <v>210</v>
      </c>
    </row>
    <row r="78" spans="1:11" s="118" customFormat="1" ht="16" x14ac:dyDescent="0.8">
      <c r="A78" s="125" t="s">
        <v>560</v>
      </c>
      <c r="B78" s="125" t="s">
        <v>471</v>
      </c>
      <c r="C78" s="125" t="s">
        <v>24</v>
      </c>
      <c r="D78" s="148" t="s">
        <v>15</v>
      </c>
      <c r="E78" s="125"/>
      <c r="F78" s="125"/>
      <c r="G78" s="122">
        <v>40</v>
      </c>
      <c r="H78" s="122"/>
      <c r="I78" s="122"/>
      <c r="J78" s="128">
        <f t="shared" si="4"/>
        <v>40</v>
      </c>
    </row>
    <row r="79" spans="1:11" s="118" customFormat="1" ht="16" x14ac:dyDescent="0.8">
      <c r="A79" s="163">
        <v>44785</v>
      </c>
      <c r="B79" s="125" t="s">
        <v>529</v>
      </c>
      <c r="C79" s="125" t="s">
        <v>561</v>
      </c>
      <c r="D79" s="148" t="s">
        <v>15</v>
      </c>
      <c r="E79" s="125"/>
      <c r="F79" s="125"/>
      <c r="G79" s="122">
        <v>40</v>
      </c>
      <c r="H79" s="122"/>
      <c r="I79" s="122"/>
      <c r="J79" s="128">
        <f t="shared" si="4"/>
        <v>40</v>
      </c>
    </row>
    <row r="80" spans="1:11" s="137" customFormat="1" ht="15" customHeight="1" x14ac:dyDescent="0.8">
      <c r="A80" s="125" t="s">
        <v>562</v>
      </c>
      <c r="B80" s="125" t="s">
        <v>497</v>
      </c>
      <c r="C80" s="125" t="s">
        <v>24</v>
      </c>
      <c r="D80" s="148" t="s">
        <v>33</v>
      </c>
      <c r="E80" s="125" t="s">
        <v>384</v>
      </c>
      <c r="F80" s="125"/>
      <c r="G80" s="128">
        <v>85</v>
      </c>
      <c r="H80" s="128">
        <v>40</v>
      </c>
      <c r="I80" s="128"/>
      <c r="J80" s="128">
        <f>SUM(G80:I80)</f>
        <v>125</v>
      </c>
      <c r="K80" s="136"/>
    </row>
    <row r="81" spans="1:12" s="137" customFormat="1" ht="15" customHeight="1" x14ac:dyDescent="0.8">
      <c r="A81" s="125" t="s">
        <v>562</v>
      </c>
      <c r="B81" s="125" t="s">
        <v>529</v>
      </c>
      <c r="C81" s="125" t="s">
        <v>24</v>
      </c>
      <c r="D81" s="148" t="s">
        <v>8</v>
      </c>
      <c r="E81" s="125"/>
      <c r="F81" s="125"/>
      <c r="G81" s="128">
        <v>125</v>
      </c>
      <c r="H81" s="128"/>
      <c r="I81" s="128"/>
      <c r="J81" s="128">
        <f t="shared" ref="J81:J86" si="5">SUM(G81:I81)</f>
        <v>125</v>
      </c>
    </row>
    <row r="82" spans="1:12" s="137" customFormat="1" ht="15" customHeight="1" x14ac:dyDescent="0.8">
      <c r="A82" s="125" t="s">
        <v>562</v>
      </c>
      <c r="B82" s="125" t="s">
        <v>536</v>
      </c>
      <c r="C82" s="125" t="s">
        <v>20</v>
      </c>
      <c r="D82" s="148" t="s">
        <v>8</v>
      </c>
      <c r="E82" s="125" t="s">
        <v>384</v>
      </c>
      <c r="F82" s="125"/>
      <c r="G82" s="128">
        <v>125</v>
      </c>
      <c r="H82" s="128">
        <v>40</v>
      </c>
      <c r="I82" s="128"/>
      <c r="J82" s="128">
        <f t="shared" si="5"/>
        <v>165</v>
      </c>
      <c r="K82" s="136"/>
    </row>
    <row r="83" spans="1:12" s="137" customFormat="1" ht="16" customHeight="1" x14ac:dyDescent="0.8">
      <c r="A83" s="125" t="s">
        <v>562</v>
      </c>
      <c r="B83" s="125" t="s">
        <v>545</v>
      </c>
      <c r="C83" s="125" t="s">
        <v>24</v>
      </c>
      <c r="D83" s="148" t="s">
        <v>8</v>
      </c>
      <c r="E83" s="125" t="s">
        <v>384</v>
      </c>
      <c r="F83" s="125"/>
      <c r="G83" s="128">
        <v>125</v>
      </c>
      <c r="H83" s="128">
        <v>40</v>
      </c>
      <c r="I83" s="128"/>
      <c r="J83" s="128">
        <f t="shared" si="5"/>
        <v>165</v>
      </c>
    </row>
    <row r="84" spans="1:12" s="137" customFormat="1" ht="16" x14ac:dyDescent="0.8">
      <c r="A84" s="125" t="s">
        <v>562</v>
      </c>
      <c r="B84" s="125" t="s">
        <v>551</v>
      </c>
      <c r="C84" s="125" t="s">
        <v>24</v>
      </c>
      <c r="D84" s="148" t="s">
        <v>8</v>
      </c>
      <c r="E84" s="125" t="s">
        <v>384</v>
      </c>
      <c r="F84" s="125"/>
      <c r="G84" s="128">
        <v>125</v>
      </c>
      <c r="H84" s="128">
        <v>45</v>
      </c>
      <c r="I84" s="128">
        <v>40</v>
      </c>
      <c r="J84" s="128">
        <f t="shared" si="5"/>
        <v>210</v>
      </c>
      <c r="L84" s="146"/>
    </row>
    <row r="85" spans="1:12" s="137" customFormat="1" ht="15" customHeight="1" x14ac:dyDescent="0.8">
      <c r="A85" s="125" t="s">
        <v>562</v>
      </c>
      <c r="B85" s="125" t="s">
        <v>547</v>
      </c>
      <c r="C85" s="125" t="s">
        <v>20</v>
      </c>
      <c r="D85" s="148" t="s">
        <v>8</v>
      </c>
      <c r="E85" s="125" t="s">
        <v>384</v>
      </c>
      <c r="F85" s="125"/>
      <c r="G85" s="128">
        <v>125</v>
      </c>
      <c r="H85" s="128">
        <v>40</v>
      </c>
      <c r="I85" s="128"/>
      <c r="J85" s="128">
        <f t="shared" si="5"/>
        <v>165</v>
      </c>
      <c r="K85" s="136"/>
      <c r="L85" s="146"/>
    </row>
    <row r="86" spans="1:12" s="137" customFormat="1" ht="15" customHeight="1" x14ac:dyDescent="0.8">
      <c r="A86" s="125" t="s">
        <v>562</v>
      </c>
      <c r="B86" s="125" t="s">
        <v>541</v>
      </c>
      <c r="C86" s="125" t="s">
        <v>20</v>
      </c>
      <c r="D86" s="148" t="s">
        <v>8</v>
      </c>
      <c r="E86" s="125" t="s">
        <v>384</v>
      </c>
      <c r="F86" s="125"/>
      <c r="G86" s="128">
        <v>125</v>
      </c>
      <c r="H86" s="128">
        <v>40</v>
      </c>
      <c r="I86" s="128"/>
      <c r="J86" s="128">
        <f t="shared" si="5"/>
        <v>165</v>
      </c>
      <c r="K86" s="136"/>
    </row>
    <row r="87" spans="1:12" s="118" customFormat="1" ht="15" customHeight="1" x14ac:dyDescent="0.8">
      <c r="A87" s="125" t="s">
        <v>562</v>
      </c>
      <c r="B87" s="125" t="s">
        <v>534</v>
      </c>
      <c r="C87" s="125" t="s">
        <v>20</v>
      </c>
      <c r="D87" s="148" t="s">
        <v>15</v>
      </c>
      <c r="E87" s="125"/>
      <c r="F87" s="125"/>
      <c r="G87" s="122">
        <v>40</v>
      </c>
      <c r="H87" s="122"/>
      <c r="I87" s="125"/>
      <c r="J87" s="122">
        <f>SUM(G87:I87)</f>
        <v>40</v>
      </c>
    </row>
    <row r="88" spans="1:12" ht="15" customHeight="1" x14ac:dyDescent="0.75">
      <c r="A88" s="118"/>
      <c r="B88" s="118"/>
      <c r="C88" s="118"/>
      <c r="D88" s="144"/>
      <c r="E88" s="118"/>
      <c r="F88" s="118"/>
      <c r="G88" s="118"/>
      <c r="H88" s="118"/>
      <c r="I88" s="118"/>
      <c r="J88" s="119">
        <f>SUM(J9:J87)</f>
        <v>10805</v>
      </c>
      <c r="K88" s="118"/>
    </row>
  </sheetData>
  <mergeCells count="7">
    <mergeCell ref="E1:J6"/>
    <mergeCell ref="A1:B1"/>
    <mergeCell ref="A2:B2"/>
    <mergeCell ref="A4:B4"/>
    <mergeCell ref="A3:B3"/>
    <mergeCell ref="A5:B5"/>
    <mergeCell ref="A6:B6"/>
  </mergeCells>
  <phoneticPr fontId="18" type="noConversion"/>
  <conditionalFormatting sqref="B88:B1048576 B7:B8">
    <cfRule type="duplicateValues" dxfId="127" priority="42"/>
    <cfRule type="duplicateValues" dxfId="126" priority="43"/>
  </conditionalFormatting>
  <conditionalFormatting sqref="B87:B1048576 B7:B8">
    <cfRule type="duplicateValues" dxfId="125" priority="31"/>
  </conditionalFormatting>
  <conditionalFormatting sqref="B9:B24">
    <cfRule type="duplicateValues" dxfId="124" priority="29"/>
    <cfRule type="duplicateValues" dxfId="123" priority="30"/>
  </conditionalFormatting>
  <conditionalFormatting sqref="B25:B38">
    <cfRule type="duplicateValues" dxfId="122" priority="25"/>
    <cfRule type="duplicateValues" dxfId="121" priority="26"/>
    <cfRule type="duplicateValues" dxfId="120" priority="27"/>
    <cfRule type="duplicateValues" dxfId="119" priority="28"/>
  </conditionalFormatting>
  <conditionalFormatting sqref="B39:B48">
    <cfRule type="duplicateValues" dxfId="118" priority="21"/>
    <cfRule type="duplicateValues" dxfId="117" priority="22"/>
    <cfRule type="duplicateValues" dxfId="116" priority="23"/>
    <cfRule type="duplicateValues" dxfId="115" priority="24"/>
  </conditionalFormatting>
  <conditionalFormatting sqref="B39:B46">
    <cfRule type="duplicateValues" dxfId="114" priority="20"/>
  </conditionalFormatting>
  <conditionalFormatting sqref="B49:B61">
    <cfRule type="duplicateValues" dxfId="113" priority="15"/>
    <cfRule type="duplicateValues" dxfId="112" priority="16"/>
    <cfRule type="duplicateValues" dxfId="111" priority="17"/>
    <cfRule type="duplicateValues" dxfId="110" priority="18"/>
    <cfRule type="duplicateValues" dxfId="109" priority="19"/>
  </conditionalFormatting>
  <conditionalFormatting sqref="B87:B1048576 B7:B61">
    <cfRule type="duplicateValues" dxfId="108" priority="14"/>
  </conditionalFormatting>
  <conditionalFormatting sqref="B62:B73">
    <cfRule type="duplicateValues" dxfId="107" priority="8"/>
    <cfRule type="duplicateValues" dxfId="106" priority="9"/>
    <cfRule type="duplicateValues" dxfId="105" priority="10"/>
    <cfRule type="duplicateValues" dxfId="104" priority="11"/>
    <cfRule type="duplicateValues" dxfId="103" priority="12"/>
    <cfRule type="duplicateValues" dxfId="102" priority="13"/>
  </conditionalFormatting>
  <conditionalFormatting sqref="B85:B86">
    <cfRule type="duplicateValues" dxfId="101" priority="2"/>
    <cfRule type="duplicateValues" dxfId="100" priority="3"/>
    <cfRule type="duplicateValues" dxfId="99" priority="4"/>
    <cfRule type="duplicateValues" dxfId="98" priority="5"/>
    <cfRule type="duplicateValues" dxfId="97" priority="6"/>
    <cfRule type="duplicateValues" dxfId="96" priority="7"/>
  </conditionalFormatting>
  <conditionalFormatting sqref="B85:B1048576 B7:B73">
    <cfRule type="duplicateValues" dxfId="95" priority="1"/>
  </conditionalFormatting>
  <conditionalFormatting sqref="B87">
    <cfRule type="duplicateValues" dxfId="94" priority="46"/>
    <cfRule type="duplicateValues" dxfId="93" priority="47"/>
  </conditionalFormatting>
  <pageMargins left="0.7" right="0.7" top="0.75" bottom="0.75" header="0.3" footer="0.3"/>
  <pageSetup scale="36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CD8A-8338-465F-8640-84AFD8672A24}">
  <sheetPr>
    <tabColor rgb="FF00B050"/>
  </sheetPr>
  <dimension ref="A1:J132"/>
  <sheetViews>
    <sheetView workbookViewId="0">
      <selection activeCell="B7" sqref="B7"/>
    </sheetView>
  </sheetViews>
  <sheetFormatPr defaultRowHeight="14.75" x14ac:dyDescent="0.75"/>
  <cols>
    <col min="1" max="1" width="24.5" style="192" customWidth="1"/>
    <col min="2" max="2" width="17.9140625" style="192" customWidth="1"/>
    <col min="3" max="3" width="22.75" style="192" customWidth="1"/>
    <col min="4" max="4" width="59.1640625" style="192" customWidth="1"/>
    <col min="5" max="5" width="49.9140625" style="192" customWidth="1"/>
    <col min="6" max="6" width="62.1640625" style="192" customWidth="1"/>
    <col min="7" max="7" width="16.25" style="192" customWidth="1"/>
    <col min="8" max="8" width="13.1640625" style="192" customWidth="1"/>
    <col min="9" max="10" width="14.4140625" style="192" customWidth="1"/>
    <col min="11" max="16384" width="8.6640625" style="192"/>
  </cols>
  <sheetData>
    <row r="1" spans="1:10" ht="15" customHeight="1" x14ac:dyDescent="0.8">
      <c r="A1" s="194" t="s">
        <v>0</v>
      </c>
      <c r="B1" s="194" t="s">
        <v>1</v>
      </c>
      <c r="C1" s="195" t="s">
        <v>2</v>
      </c>
      <c r="D1" s="196" t="s">
        <v>3</v>
      </c>
      <c r="E1" s="196" t="s">
        <v>4</v>
      </c>
      <c r="F1" s="197" t="s">
        <v>4</v>
      </c>
      <c r="G1" s="198" t="s">
        <v>100</v>
      </c>
      <c r="H1" s="198" t="s">
        <v>98</v>
      </c>
      <c r="I1" s="198" t="s">
        <v>99</v>
      </c>
      <c r="J1" s="199" t="s">
        <v>97</v>
      </c>
    </row>
    <row r="2" spans="1:10" ht="15" customHeight="1" x14ac:dyDescent="0.8">
      <c r="A2" s="200" t="s">
        <v>805</v>
      </c>
      <c r="B2" s="200" t="s">
        <v>588</v>
      </c>
      <c r="C2" s="200" t="s">
        <v>7</v>
      </c>
      <c r="D2" s="200" t="s">
        <v>8</v>
      </c>
      <c r="E2" s="200" t="s">
        <v>384</v>
      </c>
      <c r="F2" s="200"/>
      <c r="G2" s="201">
        <v>125</v>
      </c>
      <c r="H2" s="202">
        <v>40</v>
      </c>
      <c r="I2" s="202"/>
      <c r="J2" s="203">
        <f>SUM(G2:I2)</f>
        <v>165</v>
      </c>
    </row>
    <row r="3" spans="1:10" ht="15" customHeight="1" x14ac:dyDescent="0.8">
      <c r="A3" s="200" t="s">
        <v>805</v>
      </c>
      <c r="B3" s="200" t="s">
        <v>614</v>
      </c>
      <c r="C3" s="200" t="s">
        <v>7</v>
      </c>
      <c r="D3" s="200" t="s">
        <v>15</v>
      </c>
      <c r="E3" s="200"/>
      <c r="F3" s="200"/>
      <c r="G3" s="202">
        <v>40</v>
      </c>
      <c r="H3" s="202"/>
      <c r="I3" s="202"/>
      <c r="J3" s="203">
        <f t="shared" ref="J3:J29" si="0">SUM(G3:I3)</f>
        <v>40</v>
      </c>
    </row>
    <row r="4" spans="1:10" ht="15" customHeight="1" x14ac:dyDescent="0.8">
      <c r="A4" s="200" t="s">
        <v>805</v>
      </c>
      <c r="B4" s="200" t="s">
        <v>576</v>
      </c>
      <c r="C4" s="200" t="s">
        <v>7</v>
      </c>
      <c r="D4" s="200" t="s">
        <v>8</v>
      </c>
      <c r="E4" s="200" t="s">
        <v>384</v>
      </c>
      <c r="F4" s="200" t="s">
        <v>21</v>
      </c>
      <c r="G4" s="201">
        <v>125</v>
      </c>
      <c r="H4" s="202">
        <v>40</v>
      </c>
      <c r="I4" s="202">
        <v>45</v>
      </c>
      <c r="J4" s="203">
        <f t="shared" si="0"/>
        <v>210</v>
      </c>
    </row>
    <row r="5" spans="1:10" ht="15" customHeight="1" x14ac:dyDescent="0.8">
      <c r="A5" s="200" t="s">
        <v>805</v>
      </c>
      <c r="B5" s="200" t="s">
        <v>578</v>
      </c>
      <c r="C5" s="200" t="s">
        <v>7</v>
      </c>
      <c r="D5" s="200" t="s">
        <v>8</v>
      </c>
      <c r="E5" s="200" t="s">
        <v>384</v>
      </c>
      <c r="F5" s="200" t="s">
        <v>21</v>
      </c>
      <c r="G5" s="201">
        <v>125</v>
      </c>
      <c r="H5" s="202">
        <v>40</v>
      </c>
      <c r="I5" s="202">
        <v>90</v>
      </c>
      <c r="J5" s="203">
        <f t="shared" si="0"/>
        <v>255</v>
      </c>
    </row>
    <row r="6" spans="1:10" ht="15" customHeight="1" x14ac:dyDescent="0.8">
      <c r="A6" s="200" t="s">
        <v>805</v>
      </c>
      <c r="B6" s="200" t="s">
        <v>639</v>
      </c>
      <c r="C6" s="200" t="s">
        <v>20</v>
      </c>
      <c r="D6" s="200" t="s">
        <v>17</v>
      </c>
      <c r="E6" s="200" t="s">
        <v>384</v>
      </c>
      <c r="F6" s="200"/>
      <c r="G6" s="201">
        <v>105</v>
      </c>
      <c r="H6" s="202">
        <v>40</v>
      </c>
      <c r="I6" s="202"/>
      <c r="J6" s="203">
        <f t="shared" si="0"/>
        <v>145</v>
      </c>
    </row>
    <row r="7" spans="1:10" ht="15" customHeight="1" x14ac:dyDescent="0.8">
      <c r="A7" s="200" t="s">
        <v>805</v>
      </c>
      <c r="B7" s="200" t="s">
        <v>638</v>
      </c>
      <c r="C7" s="200" t="s">
        <v>20</v>
      </c>
      <c r="D7" s="200" t="s">
        <v>33</v>
      </c>
      <c r="E7" s="200"/>
      <c r="F7" s="200"/>
      <c r="G7" s="202">
        <v>85</v>
      </c>
      <c r="H7" s="202"/>
      <c r="I7" s="202"/>
      <c r="J7" s="203">
        <f t="shared" si="0"/>
        <v>85</v>
      </c>
    </row>
    <row r="8" spans="1:10" ht="15" customHeight="1" x14ac:dyDescent="0.8">
      <c r="A8" s="200" t="s">
        <v>805</v>
      </c>
      <c r="B8" s="200" t="s">
        <v>575</v>
      </c>
      <c r="C8" s="200" t="s">
        <v>20</v>
      </c>
      <c r="D8" s="200" t="s">
        <v>33</v>
      </c>
      <c r="E8" s="200"/>
      <c r="F8" s="200"/>
      <c r="G8" s="202">
        <v>85</v>
      </c>
      <c r="H8" s="202"/>
      <c r="I8" s="202"/>
      <c r="J8" s="203">
        <f t="shared" si="0"/>
        <v>85</v>
      </c>
    </row>
    <row r="9" spans="1:10" ht="15" customHeight="1" x14ac:dyDescent="0.8">
      <c r="A9" s="200" t="s">
        <v>805</v>
      </c>
      <c r="B9" s="200" t="s">
        <v>608</v>
      </c>
      <c r="C9" s="200" t="s">
        <v>385</v>
      </c>
      <c r="D9" s="200" t="s">
        <v>8</v>
      </c>
      <c r="E9" s="200" t="s">
        <v>384</v>
      </c>
      <c r="F9" s="200" t="s">
        <v>21</v>
      </c>
      <c r="G9" s="201">
        <v>125</v>
      </c>
      <c r="H9" s="202">
        <v>40</v>
      </c>
      <c r="I9" s="202">
        <v>45</v>
      </c>
      <c r="J9" s="203">
        <f t="shared" si="0"/>
        <v>210</v>
      </c>
    </row>
    <row r="10" spans="1:10" ht="15" customHeight="1" x14ac:dyDescent="0.8">
      <c r="A10" s="200" t="s">
        <v>805</v>
      </c>
      <c r="B10" s="200" t="s">
        <v>565</v>
      </c>
      <c r="C10" s="200" t="s">
        <v>24</v>
      </c>
      <c r="D10" s="200" t="s">
        <v>8</v>
      </c>
      <c r="E10" s="200" t="s">
        <v>384</v>
      </c>
      <c r="F10" s="200" t="s">
        <v>802</v>
      </c>
      <c r="G10" s="202">
        <v>125</v>
      </c>
      <c r="H10" s="202">
        <v>45</v>
      </c>
      <c r="I10" s="202">
        <v>30</v>
      </c>
      <c r="J10" s="203">
        <f t="shared" si="0"/>
        <v>200</v>
      </c>
    </row>
    <row r="11" spans="1:10" ht="15" customHeight="1" x14ac:dyDescent="0.8">
      <c r="A11" s="200" t="s">
        <v>805</v>
      </c>
      <c r="B11" s="200" t="s">
        <v>572</v>
      </c>
      <c r="C11" s="200" t="s">
        <v>20</v>
      </c>
      <c r="D11" s="200" t="s">
        <v>806</v>
      </c>
      <c r="E11" s="200" t="s">
        <v>21</v>
      </c>
      <c r="F11" s="200"/>
      <c r="G11" s="201">
        <v>155</v>
      </c>
      <c r="H11" s="202">
        <v>90</v>
      </c>
      <c r="I11" s="202"/>
      <c r="J11" s="203">
        <f t="shared" si="0"/>
        <v>245</v>
      </c>
    </row>
    <row r="12" spans="1:10" ht="15" customHeight="1" x14ac:dyDescent="0.8">
      <c r="A12" s="200" t="s">
        <v>805</v>
      </c>
      <c r="B12" s="200" t="s">
        <v>591</v>
      </c>
      <c r="C12" s="200" t="s">
        <v>24</v>
      </c>
      <c r="D12" s="200" t="s">
        <v>15</v>
      </c>
      <c r="E12" s="200"/>
      <c r="F12" s="200"/>
      <c r="G12" s="202">
        <v>40</v>
      </c>
      <c r="H12" s="202"/>
      <c r="I12" s="202"/>
      <c r="J12" s="203">
        <f t="shared" si="0"/>
        <v>40</v>
      </c>
    </row>
    <row r="13" spans="1:10" ht="15" customHeight="1" x14ac:dyDescent="0.8">
      <c r="A13" s="200" t="s">
        <v>805</v>
      </c>
      <c r="B13" s="200" t="s">
        <v>602</v>
      </c>
      <c r="C13" s="200" t="s">
        <v>385</v>
      </c>
      <c r="D13" s="200" t="s">
        <v>32</v>
      </c>
      <c r="E13" s="200"/>
      <c r="F13" s="200"/>
      <c r="G13" s="201">
        <v>155</v>
      </c>
      <c r="H13" s="202"/>
      <c r="I13" s="202"/>
      <c r="J13" s="203">
        <f t="shared" si="0"/>
        <v>155</v>
      </c>
    </row>
    <row r="14" spans="1:10" ht="15" customHeight="1" x14ac:dyDescent="0.8">
      <c r="A14" s="200" t="s">
        <v>805</v>
      </c>
      <c r="B14" s="200" t="s">
        <v>641</v>
      </c>
      <c r="C14" s="200" t="s">
        <v>24</v>
      </c>
      <c r="D14" s="200" t="s">
        <v>15</v>
      </c>
      <c r="E14" s="200"/>
      <c r="F14" s="200"/>
      <c r="G14" s="202">
        <v>40</v>
      </c>
      <c r="H14" s="202"/>
      <c r="I14" s="202"/>
      <c r="J14" s="203">
        <f t="shared" si="0"/>
        <v>40</v>
      </c>
    </row>
    <row r="15" spans="1:10" ht="15" customHeight="1" x14ac:dyDescent="0.8">
      <c r="A15" s="200" t="s">
        <v>805</v>
      </c>
      <c r="B15" s="200" t="s">
        <v>632</v>
      </c>
      <c r="C15" s="200" t="s">
        <v>385</v>
      </c>
      <c r="D15" s="200" t="s">
        <v>8</v>
      </c>
      <c r="E15" s="200"/>
      <c r="F15" s="200"/>
      <c r="G15" s="201">
        <v>125</v>
      </c>
      <c r="H15" s="202"/>
      <c r="I15" s="202"/>
      <c r="J15" s="203">
        <f t="shared" si="0"/>
        <v>125</v>
      </c>
    </row>
    <row r="16" spans="1:10" ht="15" customHeight="1" x14ac:dyDescent="0.8">
      <c r="A16" s="200" t="s">
        <v>805</v>
      </c>
      <c r="B16" s="200" t="s">
        <v>587</v>
      </c>
      <c r="C16" s="200" t="s">
        <v>24</v>
      </c>
      <c r="D16" s="200" t="s">
        <v>15</v>
      </c>
      <c r="E16" s="200"/>
      <c r="F16" s="200"/>
      <c r="G16" s="202">
        <v>40</v>
      </c>
      <c r="H16" s="202"/>
      <c r="I16" s="202"/>
      <c r="J16" s="203">
        <f t="shared" si="0"/>
        <v>40</v>
      </c>
    </row>
    <row r="17" spans="1:10" ht="15" customHeight="1" x14ac:dyDescent="0.8">
      <c r="A17" s="200" t="s">
        <v>805</v>
      </c>
      <c r="B17" s="200" t="s">
        <v>577</v>
      </c>
      <c r="C17" s="200" t="s">
        <v>20</v>
      </c>
      <c r="D17" s="200" t="s">
        <v>32</v>
      </c>
      <c r="E17" s="200" t="s">
        <v>384</v>
      </c>
      <c r="F17" s="200"/>
      <c r="G17" s="201">
        <v>155</v>
      </c>
      <c r="H17" s="202">
        <v>40</v>
      </c>
      <c r="I17" s="202"/>
      <c r="J17" s="203">
        <f t="shared" si="0"/>
        <v>195</v>
      </c>
    </row>
    <row r="18" spans="1:10" ht="15" customHeight="1" x14ac:dyDescent="0.8">
      <c r="A18" s="200" t="s">
        <v>805</v>
      </c>
      <c r="B18" s="200" t="s">
        <v>601</v>
      </c>
      <c r="C18" s="200" t="s">
        <v>385</v>
      </c>
      <c r="D18" s="200" t="s">
        <v>8</v>
      </c>
      <c r="E18" s="200"/>
      <c r="F18" s="200"/>
      <c r="G18" s="201">
        <v>125</v>
      </c>
      <c r="H18" s="202"/>
      <c r="I18" s="202"/>
      <c r="J18" s="203">
        <f t="shared" si="0"/>
        <v>125</v>
      </c>
    </row>
    <row r="19" spans="1:10" ht="15" customHeight="1" x14ac:dyDescent="0.8">
      <c r="A19" s="200" t="s">
        <v>805</v>
      </c>
      <c r="B19" s="200" t="s">
        <v>605</v>
      </c>
      <c r="C19" s="200" t="s">
        <v>385</v>
      </c>
      <c r="D19" s="200" t="s">
        <v>32</v>
      </c>
      <c r="E19" s="200"/>
      <c r="F19" s="200"/>
      <c r="G19" s="201">
        <v>155</v>
      </c>
      <c r="H19" s="202"/>
      <c r="I19" s="202"/>
      <c r="J19" s="203">
        <f t="shared" si="0"/>
        <v>155</v>
      </c>
    </row>
    <row r="20" spans="1:10" ht="15" customHeight="1" x14ac:dyDescent="0.8">
      <c r="A20" s="200" t="s">
        <v>805</v>
      </c>
      <c r="B20" s="200" t="s">
        <v>534</v>
      </c>
      <c r="C20" s="200" t="s">
        <v>20</v>
      </c>
      <c r="D20" s="200" t="s">
        <v>33</v>
      </c>
      <c r="E20" s="200" t="s">
        <v>384</v>
      </c>
      <c r="F20" s="200"/>
      <c r="G20" s="201">
        <v>85</v>
      </c>
      <c r="H20" s="202">
        <v>40</v>
      </c>
      <c r="I20" s="202"/>
      <c r="J20" s="203">
        <f t="shared" si="0"/>
        <v>125</v>
      </c>
    </row>
    <row r="21" spans="1:10" ht="15" customHeight="1" x14ac:dyDescent="0.8">
      <c r="A21" s="200" t="s">
        <v>805</v>
      </c>
      <c r="B21" s="200" t="s">
        <v>580</v>
      </c>
      <c r="C21" s="200" t="s">
        <v>24</v>
      </c>
      <c r="D21" s="200" t="s">
        <v>8</v>
      </c>
      <c r="E21" s="200" t="s">
        <v>384</v>
      </c>
      <c r="F21" s="200"/>
      <c r="G21" s="201">
        <v>125</v>
      </c>
      <c r="H21" s="202">
        <v>40</v>
      </c>
      <c r="I21" s="202"/>
      <c r="J21" s="203">
        <f t="shared" si="0"/>
        <v>165</v>
      </c>
    </row>
    <row r="22" spans="1:10" ht="15" customHeight="1" x14ac:dyDescent="0.8">
      <c r="A22" s="200" t="s">
        <v>805</v>
      </c>
      <c r="B22" s="200" t="s">
        <v>610</v>
      </c>
      <c r="C22" s="200" t="s">
        <v>385</v>
      </c>
      <c r="D22" s="200" t="s">
        <v>33</v>
      </c>
      <c r="E22" s="200"/>
      <c r="F22" s="200"/>
      <c r="G22" s="202">
        <v>85</v>
      </c>
      <c r="H22" s="202"/>
      <c r="I22" s="202"/>
      <c r="J22" s="203">
        <f t="shared" si="0"/>
        <v>85</v>
      </c>
    </row>
    <row r="23" spans="1:10" ht="15" customHeight="1" x14ac:dyDescent="0.8">
      <c r="A23" s="200" t="s">
        <v>805</v>
      </c>
      <c r="B23" s="200" t="s">
        <v>581</v>
      </c>
      <c r="C23" s="200" t="s">
        <v>20</v>
      </c>
      <c r="D23" s="200" t="s">
        <v>8</v>
      </c>
      <c r="E23" s="200" t="s">
        <v>384</v>
      </c>
      <c r="F23" s="200"/>
      <c r="G23" s="201">
        <v>125</v>
      </c>
      <c r="H23" s="202">
        <v>40</v>
      </c>
      <c r="I23" s="202"/>
      <c r="J23" s="203">
        <f t="shared" si="0"/>
        <v>165</v>
      </c>
    </row>
    <row r="24" spans="1:10" ht="15" customHeight="1" x14ac:dyDescent="0.8">
      <c r="A24" s="200" t="s">
        <v>805</v>
      </c>
      <c r="B24" s="200" t="s">
        <v>582</v>
      </c>
      <c r="C24" s="200" t="s">
        <v>24</v>
      </c>
      <c r="D24" s="200" t="s">
        <v>8</v>
      </c>
      <c r="E24" s="200" t="s">
        <v>384</v>
      </c>
      <c r="F24" s="200"/>
      <c r="G24" s="201">
        <v>125</v>
      </c>
      <c r="H24" s="202">
        <v>40</v>
      </c>
      <c r="I24" s="202"/>
      <c r="J24" s="203">
        <f t="shared" si="0"/>
        <v>165</v>
      </c>
    </row>
    <row r="25" spans="1:10" ht="15" customHeight="1" x14ac:dyDescent="0.8">
      <c r="A25" s="200" t="s">
        <v>805</v>
      </c>
      <c r="B25" s="200" t="s">
        <v>586</v>
      </c>
      <c r="C25" s="200" t="s">
        <v>20</v>
      </c>
      <c r="D25" s="200" t="s">
        <v>8</v>
      </c>
      <c r="E25" s="200" t="s">
        <v>384</v>
      </c>
      <c r="F25" s="200"/>
      <c r="G25" s="201">
        <v>125</v>
      </c>
      <c r="H25" s="202">
        <v>40</v>
      </c>
      <c r="I25" s="202"/>
      <c r="J25" s="203">
        <f t="shared" si="0"/>
        <v>165</v>
      </c>
    </row>
    <row r="26" spans="1:10" ht="16" x14ac:dyDescent="0.8">
      <c r="A26" s="200" t="s">
        <v>805</v>
      </c>
      <c r="B26" s="200" t="s">
        <v>566</v>
      </c>
      <c r="C26" s="200" t="s">
        <v>24</v>
      </c>
      <c r="D26" s="200" t="s">
        <v>8</v>
      </c>
      <c r="E26" s="200" t="s">
        <v>384</v>
      </c>
      <c r="F26" s="200"/>
      <c r="G26" s="202">
        <v>125</v>
      </c>
      <c r="H26" s="202">
        <v>40</v>
      </c>
      <c r="I26" s="202"/>
      <c r="J26" s="203">
        <f t="shared" si="0"/>
        <v>165</v>
      </c>
    </row>
    <row r="27" spans="1:10" ht="16" x14ac:dyDescent="0.8">
      <c r="A27" s="200" t="s">
        <v>805</v>
      </c>
      <c r="B27" s="200" t="s">
        <v>574</v>
      </c>
      <c r="C27" s="200" t="s">
        <v>24</v>
      </c>
      <c r="D27" s="200" t="s">
        <v>8</v>
      </c>
      <c r="E27" s="204"/>
      <c r="F27" s="200"/>
      <c r="G27" s="202">
        <v>125</v>
      </c>
      <c r="H27" s="202"/>
      <c r="I27" s="202"/>
      <c r="J27" s="203">
        <f t="shared" si="0"/>
        <v>125</v>
      </c>
    </row>
    <row r="28" spans="1:10" ht="16" x14ac:dyDescent="0.8">
      <c r="A28" s="200" t="s">
        <v>805</v>
      </c>
      <c r="B28" s="200" t="s">
        <v>567</v>
      </c>
      <c r="C28" s="200" t="s">
        <v>365</v>
      </c>
      <c r="D28" s="200" t="s">
        <v>8</v>
      </c>
      <c r="E28" s="200" t="s">
        <v>384</v>
      </c>
      <c r="F28" s="200"/>
      <c r="G28" s="202">
        <v>125</v>
      </c>
      <c r="H28" s="202">
        <v>40</v>
      </c>
      <c r="I28" s="202"/>
      <c r="J28" s="203">
        <f t="shared" si="0"/>
        <v>165</v>
      </c>
    </row>
    <row r="29" spans="1:10" ht="16" x14ac:dyDescent="0.8">
      <c r="A29" s="200" t="s">
        <v>805</v>
      </c>
      <c r="B29" s="200" t="s">
        <v>568</v>
      </c>
      <c r="C29" s="200" t="s">
        <v>365</v>
      </c>
      <c r="D29" s="200" t="s">
        <v>8</v>
      </c>
      <c r="E29" s="200" t="s">
        <v>384</v>
      </c>
      <c r="F29" s="200"/>
      <c r="G29" s="202">
        <v>125</v>
      </c>
      <c r="H29" s="202">
        <v>40</v>
      </c>
      <c r="I29" s="202"/>
      <c r="J29" s="203">
        <f t="shared" si="0"/>
        <v>165</v>
      </c>
    </row>
    <row r="30" spans="1:10" ht="16" x14ac:dyDescent="0.8">
      <c r="A30" s="200" t="s">
        <v>805</v>
      </c>
      <c r="B30" s="200" t="s">
        <v>553</v>
      </c>
      <c r="C30" s="200" t="s">
        <v>365</v>
      </c>
      <c r="D30" s="200" t="s">
        <v>15</v>
      </c>
      <c r="E30" s="200"/>
      <c r="F30" s="200"/>
      <c r="G30" s="202">
        <v>40</v>
      </c>
      <c r="H30" s="200"/>
      <c r="I30" s="200"/>
      <c r="J30" s="203">
        <f>SUM(G30)</f>
        <v>40</v>
      </c>
    </row>
    <row r="31" spans="1:10" ht="15" customHeight="1" x14ac:dyDescent="0.8">
      <c r="A31" s="200" t="s">
        <v>807</v>
      </c>
      <c r="B31" s="200" t="s">
        <v>543</v>
      </c>
      <c r="C31" s="200" t="s">
        <v>24</v>
      </c>
      <c r="D31" s="200" t="s">
        <v>33</v>
      </c>
      <c r="E31" s="200"/>
      <c r="F31" s="200"/>
      <c r="G31" s="202">
        <v>85</v>
      </c>
      <c r="H31" s="202"/>
      <c r="I31" s="202"/>
      <c r="J31" s="202">
        <f>SUM(G31:I31)</f>
        <v>85</v>
      </c>
    </row>
    <row r="32" spans="1:10" ht="15" customHeight="1" x14ac:dyDescent="0.8">
      <c r="A32" s="200" t="s">
        <v>807</v>
      </c>
      <c r="B32" s="200" t="s">
        <v>592</v>
      </c>
      <c r="C32" s="200" t="s">
        <v>385</v>
      </c>
      <c r="D32" s="200" t="s">
        <v>31</v>
      </c>
      <c r="E32" s="200" t="s">
        <v>384</v>
      </c>
      <c r="F32" s="200"/>
      <c r="G32" s="202">
        <v>125</v>
      </c>
      <c r="H32" s="202">
        <v>40</v>
      </c>
      <c r="I32" s="202"/>
      <c r="J32" s="202">
        <f t="shared" ref="J32:J54" si="1">SUM(G32:I32)</f>
        <v>165</v>
      </c>
    </row>
    <row r="33" spans="1:10" ht="15" customHeight="1" x14ac:dyDescent="0.8">
      <c r="A33" s="200" t="s">
        <v>807</v>
      </c>
      <c r="B33" s="200" t="s">
        <v>584</v>
      </c>
      <c r="C33" s="200" t="s">
        <v>24</v>
      </c>
      <c r="D33" s="200" t="s">
        <v>8</v>
      </c>
      <c r="E33" s="200" t="s">
        <v>384</v>
      </c>
      <c r="F33" s="200" t="s">
        <v>21</v>
      </c>
      <c r="G33" s="202">
        <v>125</v>
      </c>
      <c r="H33" s="202">
        <v>40</v>
      </c>
      <c r="I33" s="202">
        <v>90</v>
      </c>
      <c r="J33" s="202">
        <f t="shared" si="1"/>
        <v>255</v>
      </c>
    </row>
    <row r="34" spans="1:10" ht="15" customHeight="1" x14ac:dyDescent="0.8">
      <c r="A34" s="200" t="s">
        <v>807</v>
      </c>
      <c r="B34" s="200" t="s">
        <v>635</v>
      </c>
      <c r="C34" s="200" t="s">
        <v>385</v>
      </c>
      <c r="D34" s="200" t="s">
        <v>8</v>
      </c>
      <c r="E34" s="200" t="s">
        <v>384</v>
      </c>
      <c r="F34" s="200"/>
      <c r="G34" s="202">
        <v>125</v>
      </c>
      <c r="H34" s="202">
        <v>40</v>
      </c>
      <c r="I34" s="202"/>
      <c r="J34" s="202">
        <f t="shared" si="1"/>
        <v>165</v>
      </c>
    </row>
    <row r="35" spans="1:10" ht="15" customHeight="1" x14ac:dyDescent="0.8">
      <c r="A35" s="200" t="s">
        <v>807</v>
      </c>
      <c r="B35" s="200" t="s">
        <v>644</v>
      </c>
      <c r="C35" s="200" t="s">
        <v>20</v>
      </c>
      <c r="D35" s="200" t="s">
        <v>33</v>
      </c>
      <c r="E35" s="200"/>
      <c r="F35" s="200"/>
      <c r="G35" s="202">
        <v>85</v>
      </c>
      <c r="H35" s="202"/>
      <c r="I35" s="202"/>
      <c r="J35" s="202">
        <f t="shared" si="1"/>
        <v>85</v>
      </c>
    </row>
    <row r="36" spans="1:10" ht="15" customHeight="1" x14ac:dyDescent="0.8">
      <c r="A36" s="200" t="s">
        <v>807</v>
      </c>
      <c r="B36" s="200" t="s">
        <v>642</v>
      </c>
      <c r="C36" s="200" t="s">
        <v>20</v>
      </c>
      <c r="D36" s="200" t="s">
        <v>17</v>
      </c>
      <c r="E36" s="200" t="s">
        <v>384</v>
      </c>
      <c r="F36" s="200"/>
      <c r="G36" s="202">
        <v>105</v>
      </c>
      <c r="H36" s="202">
        <v>40</v>
      </c>
      <c r="I36" s="202"/>
      <c r="J36" s="202">
        <f t="shared" si="1"/>
        <v>145</v>
      </c>
    </row>
    <row r="37" spans="1:10" ht="15" customHeight="1" x14ac:dyDescent="0.8">
      <c r="A37" s="200" t="s">
        <v>807</v>
      </c>
      <c r="B37" s="200" t="s">
        <v>629</v>
      </c>
      <c r="C37" s="200" t="s">
        <v>24</v>
      </c>
      <c r="D37" s="200" t="s">
        <v>8</v>
      </c>
      <c r="E37" s="200" t="s">
        <v>384</v>
      </c>
      <c r="F37" s="200"/>
      <c r="G37" s="202">
        <v>125</v>
      </c>
      <c r="H37" s="202">
        <v>40</v>
      </c>
      <c r="I37" s="202"/>
      <c r="J37" s="202">
        <f t="shared" si="1"/>
        <v>165</v>
      </c>
    </row>
    <row r="38" spans="1:10" ht="15" customHeight="1" x14ac:dyDescent="0.8">
      <c r="A38" s="200" t="s">
        <v>807</v>
      </c>
      <c r="B38" s="200" t="s">
        <v>594</v>
      </c>
      <c r="C38" s="200" t="s">
        <v>24</v>
      </c>
      <c r="D38" s="200" t="s">
        <v>8</v>
      </c>
      <c r="E38" s="200" t="s">
        <v>384</v>
      </c>
      <c r="F38" s="200" t="s">
        <v>21</v>
      </c>
      <c r="G38" s="202">
        <v>125</v>
      </c>
      <c r="H38" s="202">
        <v>40</v>
      </c>
      <c r="I38" s="202">
        <v>90</v>
      </c>
      <c r="J38" s="202">
        <f t="shared" si="1"/>
        <v>255</v>
      </c>
    </row>
    <row r="39" spans="1:10" ht="15" customHeight="1" x14ac:dyDescent="0.8">
      <c r="A39" s="200" t="s">
        <v>807</v>
      </c>
      <c r="B39" s="200" t="s">
        <v>625</v>
      </c>
      <c r="C39" s="200" t="s">
        <v>20</v>
      </c>
      <c r="D39" s="200" t="s">
        <v>33</v>
      </c>
      <c r="E39" s="200"/>
      <c r="F39" s="200"/>
      <c r="G39" s="202">
        <v>85</v>
      </c>
      <c r="H39" s="202"/>
      <c r="I39" s="202"/>
      <c r="J39" s="202">
        <f t="shared" si="1"/>
        <v>85</v>
      </c>
    </row>
    <row r="40" spans="1:10" ht="15" customHeight="1" x14ac:dyDescent="0.8">
      <c r="A40" s="200" t="s">
        <v>807</v>
      </c>
      <c r="B40" s="200" t="s">
        <v>645</v>
      </c>
      <c r="C40" s="200" t="s">
        <v>20</v>
      </c>
      <c r="D40" s="200" t="s">
        <v>33</v>
      </c>
      <c r="E40" s="200"/>
      <c r="F40" s="200"/>
      <c r="G40" s="202">
        <v>85</v>
      </c>
      <c r="H40" s="202"/>
      <c r="I40" s="202"/>
      <c r="J40" s="202">
        <f t="shared" si="1"/>
        <v>85</v>
      </c>
    </row>
    <row r="41" spans="1:10" ht="15" customHeight="1" x14ac:dyDescent="0.8">
      <c r="A41" s="200" t="s">
        <v>807</v>
      </c>
      <c r="B41" s="200" t="s">
        <v>616</v>
      </c>
      <c r="C41" s="200" t="s">
        <v>24</v>
      </c>
      <c r="D41" s="200" t="s">
        <v>15</v>
      </c>
      <c r="E41" s="200"/>
      <c r="F41" s="200"/>
      <c r="G41" s="202">
        <v>40</v>
      </c>
      <c r="H41" s="202"/>
      <c r="I41" s="202"/>
      <c r="J41" s="202">
        <f t="shared" si="1"/>
        <v>40</v>
      </c>
    </row>
    <row r="42" spans="1:10" ht="15" customHeight="1" x14ac:dyDescent="0.8">
      <c r="A42" s="200" t="s">
        <v>807</v>
      </c>
      <c r="B42" s="200" t="s">
        <v>590</v>
      </c>
      <c r="C42" s="200" t="s">
        <v>20</v>
      </c>
      <c r="D42" s="200" t="s">
        <v>8</v>
      </c>
      <c r="E42" s="200" t="s">
        <v>384</v>
      </c>
      <c r="F42" s="200"/>
      <c r="G42" s="202">
        <v>125</v>
      </c>
      <c r="H42" s="202">
        <v>40</v>
      </c>
      <c r="I42" s="202"/>
      <c r="J42" s="202">
        <f t="shared" si="1"/>
        <v>165</v>
      </c>
    </row>
    <row r="43" spans="1:10" ht="15" customHeight="1" x14ac:dyDescent="0.8">
      <c r="A43" s="200" t="s">
        <v>807</v>
      </c>
      <c r="B43" s="200" t="s">
        <v>643</v>
      </c>
      <c r="C43" s="200" t="s">
        <v>385</v>
      </c>
      <c r="D43" s="200" t="s">
        <v>8</v>
      </c>
      <c r="E43" s="200" t="s">
        <v>384</v>
      </c>
      <c r="F43" s="200"/>
      <c r="G43" s="202">
        <v>125</v>
      </c>
      <c r="H43" s="202">
        <v>40</v>
      </c>
      <c r="I43" s="202"/>
      <c r="J43" s="202">
        <f t="shared" si="1"/>
        <v>165</v>
      </c>
    </row>
    <row r="44" spans="1:10" ht="15" customHeight="1" x14ac:dyDescent="0.8">
      <c r="A44" s="200" t="s">
        <v>807</v>
      </c>
      <c r="B44" s="200" t="s">
        <v>579</v>
      </c>
      <c r="C44" s="200" t="s">
        <v>385</v>
      </c>
      <c r="D44" s="200" t="s">
        <v>15</v>
      </c>
      <c r="E44" s="200"/>
      <c r="F44" s="200"/>
      <c r="G44" s="202">
        <v>40</v>
      </c>
      <c r="H44" s="202"/>
      <c r="I44" s="202"/>
      <c r="J44" s="202">
        <f t="shared" si="1"/>
        <v>40</v>
      </c>
    </row>
    <row r="45" spans="1:10" ht="15" customHeight="1" x14ac:dyDescent="0.8">
      <c r="A45" s="200" t="s">
        <v>807</v>
      </c>
      <c r="B45" s="200" t="s">
        <v>596</v>
      </c>
      <c r="C45" s="200" t="s">
        <v>385</v>
      </c>
      <c r="D45" s="200" t="s">
        <v>8</v>
      </c>
      <c r="E45" s="200" t="s">
        <v>384</v>
      </c>
      <c r="F45" s="200" t="s">
        <v>802</v>
      </c>
      <c r="G45" s="202">
        <v>125</v>
      </c>
      <c r="H45" s="202">
        <v>40</v>
      </c>
      <c r="I45" s="202">
        <v>30</v>
      </c>
      <c r="J45" s="202">
        <f t="shared" si="1"/>
        <v>195</v>
      </c>
    </row>
    <row r="46" spans="1:10" ht="15" customHeight="1" x14ac:dyDescent="0.8">
      <c r="A46" s="200" t="s">
        <v>807</v>
      </c>
      <c r="B46" s="200" t="s">
        <v>624</v>
      </c>
      <c r="C46" s="200" t="s">
        <v>20</v>
      </c>
      <c r="D46" s="200" t="s">
        <v>8</v>
      </c>
      <c r="E46" s="200" t="s">
        <v>384</v>
      </c>
      <c r="F46" s="200"/>
      <c r="G46" s="202">
        <v>125</v>
      </c>
      <c r="H46" s="202">
        <v>40</v>
      </c>
      <c r="I46" s="202"/>
      <c r="J46" s="202">
        <f t="shared" si="1"/>
        <v>165</v>
      </c>
    </row>
    <row r="47" spans="1:10" ht="15" customHeight="1" x14ac:dyDescent="0.8">
      <c r="A47" s="200" t="s">
        <v>807</v>
      </c>
      <c r="B47" s="200" t="s">
        <v>573</v>
      </c>
      <c r="C47" s="200" t="s">
        <v>24</v>
      </c>
      <c r="D47" s="200" t="s">
        <v>33</v>
      </c>
      <c r="E47" s="200" t="s">
        <v>384</v>
      </c>
      <c r="F47" s="200"/>
      <c r="G47" s="202">
        <v>85</v>
      </c>
      <c r="H47" s="202">
        <v>40</v>
      </c>
      <c r="I47" s="202"/>
      <c r="J47" s="202">
        <f t="shared" si="1"/>
        <v>125</v>
      </c>
    </row>
    <row r="48" spans="1:10" ht="15" customHeight="1" x14ac:dyDescent="0.8">
      <c r="A48" s="200" t="s">
        <v>807</v>
      </c>
      <c r="B48" s="200" t="s">
        <v>606</v>
      </c>
      <c r="C48" s="200" t="s">
        <v>20</v>
      </c>
      <c r="D48" s="200" t="s">
        <v>15</v>
      </c>
      <c r="E48" s="200"/>
      <c r="F48" s="200"/>
      <c r="G48" s="202">
        <v>40</v>
      </c>
      <c r="H48" s="202"/>
      <c r="I48" s="202"/>
      <c r="J48" s="202">
        <f t="shared" si="1"/>
        <v>40</v>
      </c>
    </row>
    <row r="49" spans="1:10" ht="16" x14ac:dyDescent="0.8">
      <c r="A49" s="200" t="s">
        <v>807</v>
      </c>
      <c r="B49" s="200" t="s">
        <v>599</v>
      </c>
      <c r="C49" s="200" t="s">
        <v>7</v>
      </c>
      <c r="D49" s="200" t="s">
        <v>33</v>
      </c>
      <c r="E49" s="200" t="s">
        <v>384</v>
      </c>
      <c r="F49" s="200"/>
      <c r="G49" s="202">
        <v>85</v>
      </c>
      <c r="H49" s="202">
        <v>40</v>
      </c>
      <c r="I49" s="202"/>
      <c r="J49" s="202">
        <f t="shared" si="1"/>
        <v>125</v>
      </c>
    </row>
    <row r="50" spans="1:10" ht="16" x14ac:dyDescent="0.8">
      <c r="A50" s="200" t="s">
        <v>807</v>
      </c>
      <c r="B50" s="200" t="s">
        <v>595</v>
      </c>
      <c r="C50" s="200" t="s">
        <v>7</v>
      </c>
      <c r="D50" s="200" t="s">
        <v>15</v>
      </c>
      <c r="E50" s="200"/>
      <c r="F50" s="200"/>
      <c r="G50" s="202">
        <v>40</v>
      </c>
      <c r="H50" s="202"/>
      <c r="I50" s="202"/>
      <c r="J50" s="202">
        <f t="shared" si="1"/>
        <v>40</v>
      </c>
    </row>
    <row r="51" spans="1:10" ht="16" x14ac:dyDescent="0.8">
      <c r="A51" s="200" t="s">
        <v>807</v>
      </c>
      <c r="B51" s="200" t="s">
        <v>615</v>
      </c>
      <c r="C51" s="200" t="s">
        <v>7</v>
      </c>
      <c r="D51" s="200" t="s">
        <v>8</v>
      </c>
      <c r="E51" s="200" t="s">
        <v>21</v>
      </c>
      <c r="F51" s="200" t="s">
        <v>384</v>
      </c>
      <c r="G51" s="202">
        <v>125</v>
      </c>
      <c r="H51" s="202">
        <v>90</v>
      </c>
      <c r="I51" s="202">
        <v>40</v>
      </c>
      <c r="J51" s="202">
        <f t="shared" si="1"/>
        <v>255</v>
      </c>
    </row>
    <row r="52" spans="1:10" ht="16" x14ac:dyDescent="0.8">
      <c r="A52" s="200" t="s">
        <v>807</v>
      </c>
      <c r="B52" s="200" t="s">
        <v>627</v>
      </c>
      <c r="C52" s="200" t="s">
        <v>7</v>
      </c>
      <c r="D52" s="200" t="s">
        <v>8</v>
      </c>
      <c r="E52" s="200" t="s">
        <v>21</v>
      </c>
      <c r="F52" s="200" t="s">
        <v>384</v>
      </c>
      <c r="G52" s="202">
        <v>125</v>
      </c>
      <c r="H52" s="202">
        <v>45</v>
      </c>
      <c r="I52" s="202">
        <v>90</v>
      </c>
      <c r="J52" s="202">
        <f t="shared" si="1"/>
        <v>260</v>
      </c>
    </row>
    <row r="53" spans="1:10" ht="16" x14ac:dyDescent="0.8">
      <c r="A53" s="200" t="s">
        <v>807</v>
      </c>
      <c r="B53" s="200" t="s">
        <v>619</v>
      </c>
      <c r="C53" s="200" t="s">
        <v>7</v>
      </c>
      <c r="D53" s="200" t="s">
        <v>33</v>
      </c>
      <c r="E53" s="200" t="s">
        <v>384</v>
      </c>
      <c r="F53" s="200"/>
      <c r="G53" s="202">
        <v>85</v>
      </c>
      <c r="H53" s="202">
        <v>40</v>
      </c>
      <c r="I53" s="202"/>
      <c r="J53" s="202">
        <f t="shared" si="1"/>
        <v>125</v>
      </c>
    </row>
    <row r="54" spans="1:10" ht="16" x14ac:dyDescent="0.8">
      <c r="A54" s="200" t="s">
        <v>807</v>
      </c>
      <c r="B54" s="200" t="s">
        <v>630</v>
      </c>
      <c r="C54" s="200" t="s">
        <v>365</v>
      </c>
      <c r="D54" s="200" t="s">
        <v>33</v>
      </c>
      <c r="E54" s="200" t="s">
        <v>384</v>
      </c>
      <c r="F54" s="200"/>
      <c r="G54" s="202">
        <v>85</v>
      </c>
      <c r="H54" s="202">
        <v>40</v>
      </c>
      <c r="I54" s="202"/>
      <c r="J54" s="202">
        <f t="shared" si="1"/>
        <v>125</v>
      </c>
    </row>
    <row r="55" spans="1:10" ht="16" x14ac:dyDescent="0.8">
      <c r="A55" s="200" t="s">
        <v>807</v>
      </c>
      <c r="B55" s="200" t="s">
        <v>633</v>
      </c>
      <c r="C55" s="200" t="s">
        <v>365</v>
      </c>
      <c r="D55" s="200" t="s">
        <v>15</v>
      </c>
      <c r="E55" s="200"/>
      <c r="F55" s="200"/>
      <c r="G55" s="202">
        <v>40</v>
      </c>
      <c r="H55" s="202"/>
      <c r="I55" s="202"/>
      <c r="J55" s="202">
        <f>SUM(G55:I55)</f>
        <v>40</v>
      </c>
    </row>
    <row r="56" spans="1:10" ht="15" customHeight="1" x14ac:dyDescent="0.8">
      <c r="A56" s="200" t="s">
        <v>808</v>
      </c>
      <c r="B56" s="200" t="s">
        <v>598</v>
      </c>
      <c r="C56" s="200" t="s">
        <v>7</v>
      </c>
      <c r="D56" s="200" t="s">
        <v>15</v>
      </c>
      <c r="E56" s="200"/>
      <c r="F56" s="200"/>
      <c r="G56" s="202">
        <v>40</v>
      </c>
      <c r="H56" s="202"/>
      <c r="I56" s="202"/>
      <c r="J56" s="202">
        <f>SUM(G56:I56)</f>
        <v>40</v>
      </c>
    </row>
    <row r="57" spans="1:10" ht="15" customHeight="1" x14ac:dyDescent="0.8">
      <c r="A57" s="200" t="s">
        <v>808</v>
      </c>
      <c r="B57" s="200" t="s">
        <v>621</v>
      </c>
      <c r="C57" s="200" t="s">
        <v>7</v>
      </c>
      <c r="D57" s="200" t="s">
        <v>8</v>
      </c>
      <c r="E57" s="200"/>
      <c r="F57" s="200"/>
      <c r="G57" s="202">
        <v>125</v>
      </c>
      <c r="H57" s="202"/>
      <c r="I57" s="202"/>
      <c r="J57" s="202">
        <f t="shared" ref="J57:J69" si="2">SUM(G57:I57)</f>
        <v>125</v>
      </c>
    </row>
    <row r="58" spans="1:10" ht="15" customHeight="1" x14ac:dyDescent="0.8">
      <c r="A58" s="200" t="s">
        <v>808</v>
      </c>
      <c r="B58" s="200" t="s">
        <v>583</v>
      </c>
      <c r="C58" s="200" t="s">
        <v>7</v>
      </c>
      <c r="D58" s="200" t="s">
        <v>32</v>
      </c>
      <c r="E58" s="200" t="s">
        <v>384</v>
      </c>
      <c r="F58" s="200"/>
      <c r="G58" s="202">
        <v>155</v>
      </c>
      <c r="H58" s="202">
        <v>40</v>
      </c>
      <c r="I58" s="202"/>
      <c r="J58" s="202">
        <f t="shared" si="2"/>
        <v>195</v>
      </c>
    </row>
    <row r="59" spans="1:10" ht="15" customHeight="1" x14ac:dyDescent="0.8">
      <c r="A59" s="200" t="s">
        <v>808</v>
      </c>
      <c r="B59" s="200" t="s">
        <v>600</v>
      </c>
      <c r="C59" s="200" t="s">
        <v>20</v>
      </c>
      <c r="D59" s="200" t="s">
        <v>33</v>
      </c>
      <c r="E59" s="200" t="s">
        <v>384</v>
      </c>
      <c r="F59" s="200"/>
      <c r="G59" s="202">
        <v>85</v>
      </c>
      <c r="H59" s="202">
        <v>40</v>
      </c>
      <c r="I59" s="202"/>
      <c r="J59" s="202">
        <f t="shared" si="2"/>
        <v>125</v>
      </c>
    </row>
    <row r="60" spans="1:10" ht="15" customHeight="1" x14ac:dyDescent="0.8">
      <c r="A60" s="200" t="s">
        <v>808</v>
      </c>
      <c r="B60" s="200" t="s">
        <v>637</v>
      </c>
      <c r="C60" s="200" t="s">
        <v>20</v>
      </c>
      <c r="D60" s="200" t="s">
        <v>8</v>
      </c>
      <c r="E60" s="200" t="s">
        <v>384</v>
      </c>
      <c r="F60" s="200"/>
      <c r="G60" s="202">
        <v>125</v>
      </c>
      <c r="H60" s="202">
        <v>40</v>
      </c>
      <c r="I60" s="202"/>
      <c r="J60" s="202">
        <f t="shared" si="2"/>
        <v>165</v>
      </c>
    </row>
    <row r="61" spans="1:10" ht="15" customHeight="1" x14ac:dyDescent="0.8">
      <c r="A61" s="200" t="s">
        <v>808</v>
      </c>
      <c r="B61" s="200" t="s">
        <v>658</v>
      </c>
      <c r="C61" s="200" t="s">
        <v>20</v>
      </c>
      <c r="D61" s="200" t="s">
        <v>8</v>
      </c>
      <c r="E61" s="200" t="s">
        <v>384</v>
      </c>
      <c r="F61" s="200" t="s">
        <v>21</v>
      </c>
      <c r="G61" s="202">
        <v>125</v>
      </c>
      <c r="H61" s="202">
        <v>40</v>
      </c>
      <c r="I61" s="202">
        <v>45</v>
      </c>
      <c r="J61" s="202">
        <f t="shared" si="2"/>
        <v>210</v>
      </c>
    </row>
    <row r="62" spans="1:10" ht="15" customHeight="1" x14ac:dyDescent="0.8">
      <c r="A62" s="200" t="s">
        <v>808</v>
      </c>
      <c r="B62" s="200" t="s">
        <v>617</v>
      </c>
      <c r="C62" s="200" t="s">
        <v>385</v>
      </c>
      <c r="D62" s="200" t="s">
        <v>8</v>
      </c>
      <c r="E62" s="200" t="s">
        <v>384</v>
      </c>
      <c r="F62" s="200" t="s">
        <v>813</v>
      </c>
      <c r="G62" s="202">
        <v>125</v>
      </c>
      <c r="H62" s="202">
        <v>40</v>
      </c>
      <c r="I62" s="202">
        <v>75</v>
      </c>
      <c r="J62" s="202">
        <f t="shared" si="2"/>
        <v>240</v>
      </c>
    </row>
    <row r="63" spans="1:10" ht="15" customHeight="1" x14ac:dyDescent="0.8">
      <c r="A63" s="200" t="s">
        <v>808</v>
      </c>
      <c r="B63" s="200" t="s">
        <v>611</v>
      </c>
      <c r="C63" s="200" t="s">
        <v>24</v>
      </c>
      <c r="D63" s="200" t="s">
        <v>8</v>
      </c>
      <c r="E63" s="200" t="s">
        <v>384</v>
      </c>
      <c r="F63" s="200" t="s">
        <v>21</v>
      </c>
      <c r="G63" s="202">
        <v>125</v>
      </c>
      <c r="H63" s="202">
        <v>40</v>
      </c>
      <c r="I63" s="202">
        <v>45</v>
      </c>
      <c r="J63" s="202">
        <f t="shared" si="2"/>
        <v>210</v>
      </c>
    </row>
    <row r="64" spans="1:10" ht="15" customHeight="1" x14ac:dyDescent="0.8">
      <c r="A64" s="200" t="s">
        <v>808</v>
      </c>
      <c r="B64" s="200" t="s">
        <v>609</v>
      </c>
      <c r="C64" s="200" t="s">
        <v>385</v>
      </c>
      <c r="D64" s="200" t="s">
        <v>8</v>
      </c>
      <c r="E64" s="200" t="s">
        <v>384</v>
      </c>
      <c r="F64" s="200"/>
      <c r="G64" s="202">
        <v>125</v>
      </c>
      <c r="H64" s="202">
        <v>40</v>
      </c>
      <c r="I64" s="202"/>
      <c r="J64" s="202">
        <f t="shared" si="2"/>
        <v>165</v>
      </c>
    </row>
    <row r="65" spans="1:10" ht="15" customHeight="1" x14ac:dyDescent="0.8">
      <c r="A65" s="200" t="s">
        <v>808</v>
      </c>
      <c r="B65" s="200" t="s">
        <v>623</v>
      </c>
      <c r="C65" s="200" t="s">
        <v>20</v>
      </c>
      <c r="D65" s="200" t="s">
        <v>8</v>
      </c>
      <c r="E65" s="200" t="s">
        <v>384</v>
      </c>
      <c r="F65" s="200"/>
      <c r="G65" s="202">
        <v>125</v>
      </c>
      <c r="H65" s="202">
        <v>40</v>
      </c>
      <c r="I65" s="202"/>
      <c r="J65" s="202">
        <f t="shared" si="2"/>
        <v>165</v>
      </c>
    </row>
    <row r="66" spans="1:10" ht="15" customHeight="1" x14ac:dyDescent="0.8">
      <c r="A66" s="200" t="s">
        <v>808</v>
      </c>
      <c r="B66" s="200" t="s">
        <v>604</v>
      </c>
      <c r="C66" s="200" t="s">
        <v>24</v>
      </c>
      <c r="D66" s="200" t="s">
        <v>33</v>
      </c>
      <c r="E66" s="200" t="s">
        <v>384</v>
      </c>
      <c r="F66" s="200"/>
      <c r="G66" s="202">
        <v>85</v>
      </c>
      <c r="H66" s="202">
        <v>40</v>
      </c>
      <c r="I66" s="202"/>
      <c r="J66" s="202">
        <f t="shared" si="2"/>
        <v>125</v>
      </c>
    </row>
    <row r="67" spans="1:10" ht="15" customHeight="1" x14ac:dyDescent="0.8">
      <c r="A67" s="200" t="s">
        <v>808</v>
      </c>
      <c r="B67" s="200" t="s">
        <v>539</v>
      </c>
      <c r="C67" s="200" t="s">
        <v>20</v>
      </c>
      <c r="D67" s="200" t="s">
        <v>17</v>
      </c>
      <c r="E67" s="200" t="s">
        <v>384</v>
      </c>
      <c r="F67" s="200"/>
      <c r="G67" s="202">
        <v>105</v>
      </c>
      <c r="H67" s="202">
        <v>40</v>
      </c>
      <c r="I67" s="202"/>
      <c r="J67" s="202">
        <f t="shared" si="2"/>
        <v>145</v>
      </c>
    </row>
    <row r="68" spans="1:10" ht="15" customHeight="1" x14ac:dyDescent="0.8">
      <c r="A68" s="200" t="s">
        <v>808</v>
      </c>
      <c r="B68" s="200" t="s">
        <v>634</v>
      </c>
      <c r="C68" s="200" t="s">
        <v>385</v>
      </c>
      <c r="D68" s="200" t="s">
        <v>15</v>
      </c>
      <c r="E68" s="200"/>
      <c r="F68" s="200"/>
      <c r="G68" s="202">
        <v>40</v>
      </c>
      <c r="H68" s="202"/>
      <c r="I68" s="202"/>
      <c r="J68" s="202">
        <f t="shared" si="2"/>
        <v>40</v>
      </c>
    </row>
    <row r="69" spans="1:10" ht="15" customHeight="1" x14ac:dyDescent="0.8">
      <c r="A69" s="200" t="s">
        <v>808</v>
      </c>
      <c r="B69" s="200" t="s">
        <v>593</v>
      </c>
      <c r="C69" s="200" t="s">
        <v>365</v>
      </c>
      <c r="D69" s="200" t="s">
        <v>15</v>
      </c>
      <c r="E69" s="200"/>
      <c r="F69" s="200"/>
      <c r="G69" s="201">
        <v>40</v>
      </c>
      <c r="H69" s="202"/>
      <c r="I69" s="202"/>
      <c r="J69" s="202">
        <f t="shared" si="2"/>
        <v>40</v>
      </c>
    </row>
    <row r="70" spans="1:10" ht="15" customHeight="1" x14ac:dyDescent="0.8">
      <c r="A70" s="200" t="s">
        <v>809</v>
      </c>
      <c r="B70" s="200" t="s">
        <v>646</v>
      </c>
      <c r="C70" s="200" t="s">
        <v>361</v>
      </c>
      <c r="D70" s="200" t="s">
        <v>8</v>
      </c>
      <c r="E70" s="200" t="s">
        <v>384</v>
      </c>
      <c r="F70" s="200"/>
      <c r="G70" s="202">
        <v>125</v>
      </c>
      <c r="H70" s="202">
        <v>40</v>
      </c>
      <c r="I70" s="202"/>
      <c r="J70" s="202">
        <f>SUM(G70:I70)</f>
        <v>165</v>
      </c>
    </row>
    <row r="71" spans="1:10" ht="15" customHeight="1" x14ac:dyDescent="0.8">
      <c r="A71" s="200" t="s">
        <v>809</v>
      </c>
      <c r="B71" s="200" t="s">
        <v>649</v>
      </c>
      <c r="C71" s="200" t="s">
        <v>361</v>
      </c>
      <c r="D71" s="200" t="s">
        <v>8</v>
      </c>
      <c r="E71" s="200"/>
      <c r="F71" s="200"/>
      <c r="G71" s="202">
        <v>125</v>
      </c>
      <c r="H71" s="202"/>
      <c r="I71" s="202"/>
      <c r="J71" s="202">
        <f t="shared" ref="J71:J93" si="3">SUM(G71:I71)</f>
        <v>125</v>
      </c>
    </row>
    <row r="72" spans="1:10" ht="15" customHeight="1" x14ac:dyDescent="0.8">
      <c r="A72" s="200" t="s">
        <v>809</v>
      </c>
      <c r="B72" s="200" t="s">
        <v>612</v>
      </c>
      <c r="C72" s="200" t="s">
        <v>7</v>
      </c>
      <c r="D72" s="200" t="s">
        <v>15</v>
      </c>
      <c r="E72" s="200"/>
      <c r="F72" s="200"/>
      <c r="G72" s="202">
        <v>40</v>
      </c>
      <c r="H72" s="202"/>
      <c r="I72" s="202"/>
      <c r="J72" s="202">
        <f t="shared" si="3"/>
        <v>40</v>
      </c>
    </row>
    <row r="73" spans="1:10" ht="15" customHeight="1" x14ac:dyDescent="0.8">
      <c r="A73" s="200" t="s">
        <v>809</v>
      </c>
      <c r="B73" s="200" t="s">
        <v>648</v>
      </c>
      <c r="C73" s="200" t="s">
        <v>7</v>
      </c>
      <c r="D73" s="200" t="s">
        <v>15</v>
      </c>
      <c r="E73" s="200"/>
      <c r="F73" s="200"/>
      <c r="G73" s="202">
        <v>40</v>
      </c>
      <c r="H73" s="202"/>
      <c r="I73" s="202"/>
      <c r="J73" s="202">
        <f t="shared" si="3"/>
        <v>40</v>
      </c>
    </row>
    <row r="74" spans="1:10" ht="15" customHeight="1" x14ac:dyDescent="0.8">
      <c r="A74" s="200" t="s">
        <v>809</v>
      </c>
      <c r="B74" s="200" t="s">
        <v>622</v>
      </c>
      <c r="C74" s="200" t="s">
        <v>7</v>
      </c>
      <c r="D74" s="200" t="s">
        <v>15</v>
      </c>
      <c r="E74" s="200"/>
      <c r="F74" s="200"/>
      <c r="G74" s="202">
        <v>40</v>
      </c>
      <c r="H74" s="202"/>
      <c r="I74" s="202"/>
      <c r="J74" s="202">
        <f t="shared" si="3"/>
        <v>40</v>
      </c>
    </row>
    <row r="75" spans="1:10" ht="15" customHeight="1" x14ac:dyDescent="0.8">
      <c r="A75" s="200" t="s">
        <v>809</v>
      </c>
      <c r="B75" s="200" t="s">
        <v>626</v>
      </c>
      <c r="C75" s="200" t="s">
        <v>7</v>
      </c>
      <c r="D75" s="200" t="s">
        <v>8</v>
      </c>
      <c r="E75" s="200" t="s">
        <v>384</v>
      </c>
      <c r="F75" s="200"/>
      <c r="G75" s="202">
        <v>125</v>
      </c>
      <c r="H75" s="202">
        <v>40</v>
      </c>
      <c r="I75" s="202"/>
      <c r="J75" s="202">
        <f t="shared" si="3"/>
        <v>165</v>
      </c>
    </row>
    <row r="76" spans="1:10" ht="15" customHeight="1" x14ac:dyDescent="0.8">
      <c r="A76" s="200" t="s">
        <v>809</v>
      </c>
      <c r="B76" s="200" t="s">
        <v>647</v>
      </c>
      <c r="C76" s="200" t="s">
        <v>385</v>
      </c>
      <c r="D76" s="200" t="s">
        <v>8</v>
      </c>
      <c r="E76" s="200" t="s">
        <v>384</v>
      </c>
      <c r="F76" s="200"/>
      <c r="G76" s="202">
        <v>125</v>
      </c>
      <c r="H76" s="202">
        <v>40</v>
      </c>
      <c r="I76" s="202"/>
      <c r="J76" s="202">
        <f t="shared" si="3"/>
        <v>165</v>
      </c>
    </row>
    <row r="77" spans="1:10" ht="15" customHeight="1" x14ac:dyDescent="0.8">
      <c r="A77" s="200" t="s">
        <v>809</v>
      </c>
      <c r="B77" s="200" t="s">
        <v>620</v>
      </c>
      <c r="C77" s="200" t="s">
        <v>20</v>
      </c>
      <c r="D77" s="200" t="s">
        <v>33</v>
      </c>
      <c r="E77" s="200" t="s">
        <v>384</v>
      </c>
      <c r="F77" s="200"/>
      <c r="G77" s="202">
        <v>85</v>
      </c>
      <c r="H77" s="202">
        <v>40</v>
      </c>
      <c r="I77" s="202"/>
      <c r="J77" s="202">
        <f t="shared" si="3"/>
        <v>125</v>
      </c>
    </row>
    <row r="78" spans="1:10" ht="15" customHeight="1" x14ac:dyDescent="0.8">
      <c r="A78" s="200" t="s">
        <v>809</v>
      </c>
      <c r="B78" s="200" t="s">
        <v>640</v>
      </c>
      <c r="C78" s="200" t="s">
        <v>385</v>
      </c>
      <c r="D78" s="200" t="s">
        <v>8</v>
      </c>
      <c r="E78" s="200" t="s">
        <v>384</v>
      </c>
      <c r="F78" s="200"/>
      <c r="G78" s="202">
        <v>125</v>
      </c>
      <c r="H78" s="202">
        <v>40</v>
      </c>
      <c r="I78" s="202"/>
      <c r="J78" s="202">
        <f t="shared" si="3"/>
        <v>165</v>
      </c>
    </row>
    <row r="79" spans="1:10" ht="15" customHeight="1" x14ac:dyDescent="0.8">
      <c r="A79" s="200" t="s">
        <v>809</v>
      </c>
      <c r="B79" s="200" t="s">
        <v>597</v>
      </c>
      <c r="C79" s="200" t="s">
        <v>24</v>
      </c>
      <c r="D79" s="200" t="s">
        <v>30</v>
      </c>
      <c r="E79" s="200" t="s">
        <v>384</v>
      </c>
      <c r="F79" s="200"/>
      <c r="G79" s="202">
        <v>185</v>
      </c>
      <c r="H79" s="202">
        <v>40</v>
      </c>
      <c r="I79" s="202"/>
      <c r="J79" s="202">
        <f t="shared" si="3"/>
        <v>225</v>
      </c>
    </row>
    <row r="80" spans="1:10" ht="15" customHeight="1" x14ac:dyDescent="0.8">
      <c r="A80" s="200" t="s">
        <v>809</v>
      </c>
      <c r="B80" s="200" t="s">
        <v>603</v>
      </c>
      <c r="C80" s="200" t="s">
        <v>20</v>
      </c>
      <c r="D80" s="200" t="s">
        <v>8</v>
      </c>
      <c r="E80" s="200" t="s">
        <v>384</v>
      </c>
      <c r="F80" s="200"/>
      <c r="G80" s="202">
        <v>125</v>
      </c>
      <c r="H80" s="202">
        <v>40</v>
      </c>
      <c r="I80" s="202"/>
      <c r="J80" s="202">
        <f t="shared" si="3"/>
        <v>165</v>
      </c>
    </row>
    <row r="81" spans="1:10" ht="15" customHeight="1" x14ac:dyDescent="0.8">
      <c r="A81" s="200" t="s">
        <v>809</v>
      </c>
      <c r="B81" s="200" t="s">
        <v>589</v>
      </c>
      <c r="C81" s="200" t="s">
        <v>385</v>
      </c>
      <c r="D81" s="200" t="s">
        <v>17</v>
      </c>
      <c r="E81" s="200" t="s">
        <v>384</v>
      </c>
      <c r="F81" s="200"/>
      <c r="G81" s="202">
        <v>105</v>
      </c>
      <c r="H81" s="202">
        <v>40</v>
      </c>
      <c r="I81" s="202"/>
      <c r="J81" s="202">
        <f t="shared" si="3"/>
        <v>145</v>
      </c>
    </row>
    <row r="82" spans="1:10" ht="15" customHeight="1" x14ac:dyDescent="0.8">
      <c r="A82" s="200" t="s">
        <v>809</v>
      </c>
      <c r="B82" s="200" t="s">
        <v>628</v>
      </c>
      <c r="C82" s="200" t="s">
        <v>385</v>
      </c>
      <c r="D82" s="200" t="s">
        <v>8</v>
      </c>
      <c r="E82" s="200" t="s">
        <v>21</v>
      </c>
      <c r="F82" s="200" t="s">
        <v>384</v>
      </c>
      <c r="G82" s="202">
        <v>125</v>
      </c>
      <c r="H82" s="202">
        <v>90</v>
      </c>
      <c r="I82" s="202">
        <v>40</v>
      </c>
      <c r="J82" s="202">
        <f t="shared" si="3"/>
        <v>255</v>
      </c>
    </row>
    <row r="83" spans="1:10" ht="15" customHeight="1" x14ac:dyDescent="0.8">
      <c r="A83" s="200" t="s">
        <v>809</v>
      </c>
      <c r="B83" s="200" t="s">
        <v>655</v>
      </c>
      <c r="C83" s="200" t="s">
        <v>24</v>
      </c>
      <c r="D83" s="200" t="s">
        <v>17</v>
      </c>
      <c r="E83" s="200" t="s">
        <v>384</v>
      </c>
      <c r="F83" s="200"/>
      <c r="G83" s="201">
        <v>105</v>
      </c>
      <c r="H83" s="202">
        <v>40</v>
      </c>
      <c r="I83" s="202"/>
      <c r="J83" s="202">
        <f t="shared" si="3"/>
        <v>145</v>
      </c>
    </row>
    <row r="84" spans="1:10" ht="16" x14ac:dyDescent="0.8">
      <c r="A84" s="200" t="s">
        <v>809</v>
      </c>
      <c r="B84" s="200" t="s">
        <v>618</v>
      </c>
      <c r="C84" s="200" t="s">
        <v>20</v>
      </c>
      <c r="D84" s="200" t="s">
        <v>8</v>
      </c>
      <c r="E84" s="200" t="s">
        <v>384</v>
      </c>
      <c r="F84" s="200"/>
      <c r="G84" s="202">
        <v>125</v>
      </c>
      <c r="H84" s="202">
        <v>40</v>
      </c>
      <c r="I84" s="202"/>
      <c r="J84" s="202">
        <f t="shared" si="3"/>
        <v>165</v>
      </c>
    </row>
    <row r="85" spans="1:10" ht="16" x14ac:dyDescent="0.8">
      <c r="A85" s="200" t="s">
        <v>809</v>
      </c>
      <c r="B85" s="200" t="s">
        <v>661</v>
      </c>
      <c r="C85" s="200" t="s">
        <v>385</v>
      </c>
      <c r="D85" s="200" t="s">
        <v>8</v>
      </c>
      <c r="E85" s="200" t="s">
        <v>21</v>
      </c>
      <c r="F85" s="200" t="s">
        <v>384</v>
      </c>
      <c r="G85" s="202">
        <v>125</v>
      </c>
      <c r="H85" s="202">
        <v>45</v>
      </c>
      <c r="I85" s="202">
        <v>40</v>
      </c>
      <c r="J85" s="202">
        <f t="shared" si="3"/>
        <v>210</v>
      </c>
    </row>
    <row r="86" spans="1:10" ht="16" x14ac:dyDescent="0.8">
      <c r="A86" s="200" t="s">
        <v>809</v>
      </c>
      <c r="B86" s="200" t="s">
        <v>665</v>
      </c>
      <c r="C86" s="200" t="s">
        <v>20</v>
      </c>
      <c r="D86" s="200" t="s">
        <v>8</v>
      </c>
      <c r="E86" s="200" t="s">
        <v>384</v>
      </c>
      <c r="F86" s="200" t="s">
        <v>802</v>
      </c>
      <c r="G86" s="202">
        <v>125</v>
      </c>
      <c r="H86" s="202">
        <v>40</v>
      </c>
      <c r="I86" s="202">
        <v>30</v>
      </c>
      <c r="J86" s="202">
        <f t="shared" si="3"/>
        <v>195</v>
      </c>
    </row>
    <row r="87" spans="1:10" ht="16" x14ac:dyDescent="0.8">
      <c r="A87" s="200" t="s">
        <v>809</v>
      </c>
      <c r="B87" s="200" t="s">
        <v>613</v>
      </c>
      <c r="C87" s="200" t="s">
        <v>24</v>
      </c>
      <c r="D87" s="200" t="s">
        <v>15</v>
      </c>
      <c r="E87" s="200"/>
      <c r="F87" s="200"/>
      <c r="G87" s="202">
        <v>40</v>
      </c>
      <c r="H87" s="202"/>
      <c r="I87" s="202"/>
      <c r="J87" s="202">
        <f t="shared" si="3"/>
        <v>40</v>
      </c>
    </row>
    <row r="88" spans="1:10" ht="16" x14ac:dyDescent="0.8">
      <c r="A88" s="200" t="s">
        <v>809</v>
      </c>
      <c r="B88" s="200" t="s">
        <v>659</v>
      </c>
      <c r="C88" s="200" t="s">
        <v>24</v>
      </c>
      <c r="D88" s="200" t="s">
        <v>8</v>
      </c>
      <c r="E88" s="200" t="s">
        <v>387</v>
      </c>
      <c r="F88" s="200" t="s">
        <v>384</v>
      </c>
      <c r="G88" s="202">
        <v>125</v>
      </c>
      <c r="H88" s="202">
        <v>85</v>
      </c>
      <c r="I88" s="202">
        <v>40</v>
      </c>
      <c r="J88" s="202">
        <f t="shared" si="3"/>
        <v>250</v>
      </c>
    </row>
    <row r="89" spans="1:10" ht="16" x14ac:dyDescent="0.8">
      <c r="A89" s="200" t="s">
        <v>809</v>
      </c>
      <c r="B89" s="200" t="s">
        <v>667</v>
      </c>
      <c r="C89" s="200" t="s">
        <v>20</v>
      </c>
      <c r="D89" s="200" t="s">
        <v>33</v>
      </c>
      <c r="E89" s="200" t="s">
        <v>384</v>
      </c>
      <c r="F89" s="200"/>
      <c r="G89" s="202">
        <v>85</v>
      </c>
      <c r="H89" s="202">
        <v>40</v>
      </c>
      <c r="I89" s="202"/>
      <c r="J89" s="202">
        <f t="shared" si="3"/>
        <v>125</v>
      </c>
    </row>
    <row r="90" spans="1:10" ht="16" x14ac:dyDescent="0.8">
      <c r="A90" s="200" t="s">
        <v>809</v>
      </c>
      <c r="B90" s="200" t="s">
        <v>570</v>
      </c>
      <c r="C90" s="200" t="s">
        <v>20</v>
      </c>
      <c r="D90" s="200" t="s">
        <v>33</v>
      </c>
      <c r="E90" s="200"/>
      <c r="F90" s="200"/>
      <c r="G90" s="202">
        <v>85</v>
      </c>
      <c r="H90" s="202"/>
      <c r="I90" s="202"/>
      <c r="J90" s="202">
        <f t="shared" si="3"/>
        <v>85</v>
      </c>
    </row>
    <row r="91" spans="1:10" ht="16" x14ac:dyDescent="0.8">
      <c r="A91" s="200" t="s">
        <v>809</v>
      </c>
      <c r="B91" s="200" t="s">
        <v>650</v>
      </c>
      <c r="C91" s="200" t="s">
        <v>20</v>
      </c>
      <c r="D91" s="200" t="s">
        <v>15</v>
      </c>
      <c r="E91" s="200"/>
      <c r="F91" s="200"/>
      <c r="G91" s="202">
        <v>40</v>
      </c>
      <c r="H91" s="202"/>
      <c r="I91" s="202"/>
      <c r="J91" s="202">
        <f t="shared" si="3"/>
        <v>40</v>
      </c>
    </row>
    <row r="92" spans="1:10" ht="16" x14ac:dyDescent="0.8">
      <c r="A92" s="200" t="s">
        <v>809</v>
      </c>
      <c r="B92" s="200" t="s">
        <v>672</v>
      </c>
      <c r="C92" s="200" t="s">
        <v>20</v>
      </c>
      <c r="D92" s="200" t="s">
        <v>33</v>
      </c>
      <c r="E92" s="200"/>
      <c r="F92" s="200"/>
      <c r="G92" s="202">
        <v>85</v>
      </c>
      <c r="H92" s="202"/>
      <c r="I92" s="202"/>
      <c r="J92" s="202">
        <f t="shared" si="3"/>
        <v>85</v>
      </c>
    </row>
    <row r="93" spans="1:10" ht="16" x14ac:dyDescent="0.8">
      <c r="A93" s="200" t="s">
        <v>809</v>
      </c>
      <c r="B93" s="200" t="s">
        <v>812</v>
      </c>
      <c r="C93" s="200" t="s">
        <v>24</v>
      </c>
      <c r="D93" s="200" t="s">
        <v>15</v>
      </c>
      <c r="E93" s="200"/>
      <c r="F93" s="200"/>
      <c r="G93" s="202">
        <v>40</v>
      </c>
      <c r="H93" s="200"/>
      <c r="I93" s="200"/>
      <c r="J93" s="203">
        <f t="shared" si="3"/>
        <v>40</v>
      </c>
    </row>
    <row r="94" spans="1:10" ht="15.5" customHeight="1" x14ac:dyDescent="0.8">
      <c r="A94" s="200" t="s">
        <v>810</v>
      </c>
      <c r="B94" s="200" t="s">
        <v>598</v>
      </c>
      <c r="C94" s="200" t="s">
        <v>24</v>
      </c>
      <c r="D94" s="200" t="s">
        <v>8</v>
      </c>
      <c r="E94" s="200" t="s">
        <v>384</v>
      </c>
      <c r="F94" s="200"/>
      <c r="G94" s="202">
        <v>125</v>
      </c>
      <c r="H94" s="202">
        <v>40</v>
      </c>
      <c r="I94" s="202"/>
      <c r="J94" s="202">
        <f>SUM(G94:I94)</f>
        <v>165</v>
      </c>
    </row>
    <row r="95" spans="1:10" ht="15" customHeight="1" x14ac:dyDescent="0.8">
      <c r="A95" s="200" t="s">
        <v>810</v>
      </c>
      <c r="B95" s="200" t="s">
        <v>675</v>
      </c>
      <c r="C95" s="200" t="s">
        <v>24</v>
      </c>
      <c r="D95" s="200" t="s">
        <v>33</v>
      </c>
      <c r="E95" s="200"/>
      <c r="F95" s="200"/>
      <c r="G95" s="202">
        <v>85</v>
      </c>
      <c r="H95" s="202"/>
      <c r="I95" s="202"/>
      <c r="J95" s="202">
        <f t="shared" ref="J95:J115" si="4">SUM(G95:I95)</f>
        <v>85</v>
      </c>
    </row>
    <row r="96" spans="1:10" ht="15" customHeight="1" x14ac:dyDescent="0.8">
      <c r="A96" s="200" t="s">
        <v>810</v>
      </c>
      <c r="B96" s="200" t="s">
        <v>666</v>
      </c>
      <c r="C96" s="200" t="s">
        <v>385</v>
      </c>
      <c r="D96" s="200" t="s">
        <v>8</v>
      </c>
      <c r="E96" s="200" t="s">
        <v>384</v>
      </c>
      <c r="F96" s="200"/>
      <c r="G96" s="202">
        <v>125</v>
      </c>
      <c r="H96" s="202">
        <v>40</v>
      </c>
      <c r="I96" s="202"/>
      <c r="J96" s="202">
        <f t="shared" si="4"/>
        <v>165</v>
      </c>
    </row>
    <row r="97" spans="1:10" ht="15" customHeight="1" x14ac:dyDescent="0.8">
      <c r="A97" s="200" t="s">
        <v>810</v>
      </c>
      <c r="B97" s="200" t="s">
        <v>660</v>
      </c>
      <c r="C97" s="200" t="s">
        <v>24</v>
      </c>
      <c r="D97" s="200" t="s">
        <v>8</v>
      </c>
      <c r="E97" s="200" t="s">
        <v>384</v>
      </c>
      <c r="F97" s="200" t="s">
        <v>802</v>
      </c>
      <c r="G97" s="202">
        <v>125</v>
      </c>
      <c r="H97" s="202">
        <v>40</v>
      </c>
      <c r="I97" s="202">
        <v>30</v>
      </c>
      <c r="J97" s="202">
        <f t="shared" si="4"/>
        <v>195</v>
      </c>
    </row>
    <row r="98" spans="1:10" ht="15" customHeight="1" x14ac:dyDescent="0.8">
      <c r="A98" s="200" t="s">
        <v>810</v>
      </c>
      <c r="B98" s="200" t="s">
        <v>683</v>
      </c>
      <c r="C98" s="200" t="s">
        <v>20</v>
      </c>
      <c r="D98" s="200" t="s">
        <v>33</v>
      </c>
      <c r="E98" s="200"/>
      <c r="F98" s="200"/>
      <c r="G98" s="202">
        <v>85</v>
      </c>
      <c r="H98" s="202"/>
      <c r="I98" s="202"/>
      <c r="J98" s="202">
        <f t="shared" si="4"/>
        <v>85</v>
      </c>
    </row>
    <row r="99" spans="1:10" ht="15" customHeight="1" x14ac:dyDescent="0.8">
      <c r="A99" s="200" t="s">
        <v>810</v>
      </c>
      <c r="B99" s="200" t="s">
        <v>682</v>
      </c>
      <c r="C99" s="200" t="s">
        <v>20</v>
      </c>
      <c r="D99" s="200" t="s">
        <v>31</v>
      </c>
      <c r="E99" s="200" t="s">
        <v>384</v>
      </c>
      <c r="F99" s="200"/>
      <c r="G99" s="202">
        <v>125</v>
      </c>
      <c r="H99" s="202">
        <v>40</v>
      </c>
      <c r="I99" s="202"/>
      <c r="J99" s="202">
        <f t="shared" si="4"/>
        <v>165</v>
      </c>
    </row>
    <row r="100" spans="1:10" ht="15" customHeight="1" x14ac:dyDescent="0.8">
      <c r="A100" s="200" t="s">
        <v>810</v>
      </c>
      <c r="B100" s="200" t="s">
        <v>636</v>
      </c>
      <c r="C100" s="200" t="s">
        <v>24</v>
      </c>
      <c r="D100" s="200" t="s">
        <v>8</v>
      </c>
      <c r="E100" s="200"/>
      <c r="F100" s="200"/>
      <c r="G100" s="202">
        <v>125</v>
      </c>
      <c r="H100" s="202"/>
      <c r="I100" s="202"/>
      <c r="J100" s="202">
        <f t="shared" si="4"/>
        <v>125</v>
      </c>
    </row>
    <row r="101" spans="1:10" ht="15" customHeight="1" x14ac:dyDescent="0.8">
      <c r="A101" s="200" t="s">
        <v>810</v>
      </c>
      <c r="B101" s="200" t="s">
        <v>657</v>
      </c>
      <c r="C101" s="200" t="s">
        <v>24</v>
      </c>
      <c r="D101" s="200" t="s">
        <v>8</v>
      </c>
      <c r="E101" s="200" t="s">
        <v>384</v>
      </c>
      <c r="F101" s="200" t="s">
        <v>802</v>
      </c>
      <c r="G101" s="202">
        <v>125</v>
      </c>
      <c r="H101" s="202">
        <v>40</v>
      </c>
      <c r="I101" s="202">
        <v>30</v>
      </c>
      <c r="J101" s="202">
        <f t="shared" si="4"/>
        <v>195</v>
      </c>
    </row>
    <row r="102" spans="1:10" ht="15" customHeight="1" x14ac:dyDescent="0.8">
      <c r="A102" s="200" t="s">
        <v>810</v>
      </c>
      <c r="B102" s="200" t="s">
        <v>668</v>
      </c>
      <c r="C102" s="200" t="s">
        <v>385</v>
      </c>
      <c r="D102" s="200" t="s">
        <v>8</v>
      </c>
      <c r="E102" s="200" t="s">
        <v>384</v>
      </c>
      <c r="F102" s="200"/>
      <c r="G102" s="202">
        <v>125</v>
      </c>
      <c r="H102" s="202">
        <v>40</v>
      </c>
      <c r="I102" s="202"/>
      <c r="J102" s="202">
        <f t="shared" si="4"/>
        <v>165</v>
      </c>
    </row>
    <row r="103" spans="1:10" ht="15" customHeight="1" x14ac:dyDescent="0.8">
      <c r="A103" s="200" t="s">
        <v>810</v>
      </c>
      <c r="B103" s="200" t="s">
        <v>656</v>
      </c>
      <c r="C103" s="200" t="s">
        <v>20</v>
      </c>
      <c r="D103" s="200" t="s">
        <v>33</v>
      </c>
      <c r="E103" s="200"/>
      <c r="F103" s="200"/>
      <c r="G103" s="202">
        <v>85</v>
      </c>
      <c r="H103" s="202"/>
      <c r="I103" s="202"/>
      <c r="J103" s="202">
        <f t="shared" si="4"/>
        <v>85</v>
      </c>
    </row>
    <row r="104" spans="1:10" ht="15" customHeight="1" x14ac:dyDescent="0.8">
      <c r="A104" s="200" t="s">
        <v>810</v>
      </c>
      <c r="B104" s="200" t="s">
        <v>681</v>
      </c>
      <c r="C104" s="200" t="s">
        <v>385</v>
      </c>
      <c r="D104" s="200" t="s">
        <v>33</v>
      </c>
      <c r="E104" s="200"/>
      <c r="F104" s="200"/>
      <c r="G104" s="202">
        <v>85</v>
      </c>
      <c r="H104" s="202"/>
      <c r="I104" s="202"/>
      <c r="J104" s="202">
        <f t="shared" si="4"/>
        <v>85</v>
      </c>
    </row>
    <row r="105" spans="1:10" ht="15" customHeight="1" x14ac:dyDescent="0.8">
      <c r="A105" s="200" t="s">
        <v>810</v>
      </c>
      <c r="B105" s="200" t="s">
        <v>651</v>
      </c>
      <c r="C105" s="200" t="s">
        <v>385</v>
      </c>
      <c r="D105" s="200" t="s">
        <v>32</v>
      </c>
      <c r="E105" s="200" t="s">
        <v>384</v>
      </c>
      <c r="F105" s="200" t="s">
        <v>802</v>
      </c>
      <c r="G105" s="202">
        <v>155</v>
      </c>
      <c r="H105" s="202">
        <v>40</v>
      </c>
      <c r="I105" s="202">
        <v>30</v>
      </c>
      <c r="J105" s="202">
        <f t="shared" si="4"/>
        <v>225</v>
      </c>
    </row>
    <row r="106" spans="1:10" ht="15" customHeight="1" x14ac:dyDescent="0.8">
      <c r="A106" s="200" t="s">
        <v>810</v>
      </c>
      <c r="B106" s="200" t="s">
        <v>670</v>
      </c>
      <c r="C106" s="200" t="s">
        <v>20</v>
      </c>
      <c r="D106" s="200" t="s">
        <v>8</v>
      </c>
      <c r="E106" s="200" t="s">
        <v>21</v>
      </c>
      <c r="F106" s="200" t="s">
        <v>384</v>
      </c>
      <c r="G106" s="202">
        <v>125</v>
      </c>
      <c r="H106" s="202">
        <v>90</v>
      </c>
      <c r="I106" s="202">
        <v>40</v>
      </c>
      <c r="J106" s="202">
        <f t="shared" si="4"/>
        <v>255</v>
      </c>
    </row>
    <row r="107" spans="1:10" ht="15" customHeight="1" x14ac:dyDescent="0.8">
      <c r="A107" s="200" t="s">
        <v>810</v>
      </c>
      <c r="B107" s="200" t="s">
        <v>596</v>
      </c>
      <c r="C107" s="200" t="s">
        <v>385</v>
      </c>
      <c r="D107" s="200" t="s">
        <v>8</v>
      </c>
      <c r="E107" s="200" t="s">
        <v>384</v>
      </c>
      <c r="F107" s="200"/>
      <c r="G107" s="201">
        <v>125</v>
      </c>
      <c r="H107" s="202">
        <v>40</v>
      </c>
      <c r="I107" s="202"/>
      <c r="J107" s="202">
        <f t="shared" si="4"/>
        <v>165</v>
      </c>
    </row>
    <row r="108" spans="1:10" ht="16" x14ac:dyDescent="0.8">
      <c r="A108" s="200" t="s">
        <v>810</v>
      </c>
      <c r="B108" s="200" t="s">
        <v>674</v>
      </c>
      <c r="C108" s="200" t="s">
        <v>24</v>
      </c>
      <c r="D108" s="200" t="s">
        <v>15</v>
      </c>
      <c r="E108" s="200"/>
      <c r="F108" s="200"/>
      <c r="G108" s="202">
        <v>40</v>
      </c>
      <c r="H108" s="202"/>
      <c r="I108" s="202"/>
      <c r="J108" s="202">
        <f t="shared" si="4"/>
        <v>40</v>
      </c>
    </row>
    <row r="109" spans="1:10" ht="16" x14ac:dyDescent="0.8">
      <c r="A109" s="200" t="s">
        <v>810</v>
      </c>
      <c r="B109" s="200" t="s">
        <v>669</v>
      </c>
      <c r="C109" s="200" t="s">
        <v>24</v>
      </c>
      <c r="D109" s="200" t="s">
        <v>8</v>
      </c>
      <c r="E109" s="200" t="s">
        <v>384</v>
      </c>
      <c r="F109" s="200"/>
      <c r="G109" s="202">
        <v>125</v>
      </c>
      <c r="H109" s="202">
        <v>40</v>
      </c>
      <c r="I109" s="202"/>
      <c r="J109" s="202">
        <f t="shared" si="4"/>
        <v>165</v>
      </c>
    </row>
    <row r="110" spans="1:10" ht="16" x14ac:dyDescent="0.8">
      <c r="A110" s="200" t="s">
        <v>810</v>
      </c>
      <c r="B110" s="200" t="s">
        <v>664</v>
      </c>
      <c r="C110" s="200" t="s">
        <v>20</v>
      </c>
      <c r="D110" s="200" t="s">
        <v>8</v>
      </c>
      <c r="E110" s="200" t="s">
        <v>384</v>
      </c>
      <c r="F110" s="200"/>
      <c r="G110" s="202">
        <v>125</v>
      </c>
      <c r="H110" s="202">
        <v>40</v>
      </c>
      <c r="I110" s="202"/>
      <c r="J110" s="202">
        <f t="shared" si="4"/>
        <v>165</v>
      </c>
    </row>
    <row r="111" spans="1:10" ht="16" x14ac:dyDescent="0.8">
      <c r="A111" s="200" t="s">
        <v>810</v>
      </c>
      <c r="B111" s="200" t="s">
        <v>663</v>
      </c>
      <c r="C111" s="200" t="s">
        <v>7</v>
      </c>
      <c r="D111" s="200" t="s">
        <v>8</v>
      </c>
      <c r="E111" s="200" t="s">
        <v>384</v>
      </c>
      <c r="F111" s="200"/>
      <c r="G111" s="202">
        <v>125</v>
      </c>
      <c r="H111" s="202">
        <v>40</v>
      </c>
      <c r="I111" s="202"/>
      <c r="J111" s="202">
        <f t="shared" si="4"/>
        <v>165</v>
      </c>
    </row>
    <row r="112" spans="1:10" ht="16" x14ac:dyDescent="0.8">
      <c r="A112" s="200" t="s">
        <v>810</v>
      </c>
      <c r="B112" s="200" t="s">
        <v>571</v>
      </c>
      <c r="C112" s="200" t="s">
        <v>7</v>
      </c>
      <c r="D112" s="200" t="s">
        <v>8</v>
      </c>
      <c r="E112" s="200"/>
      <c r="F112" s="200"/>
      <c r="G112" s="202">
        <v>125</v>
      </c>
      <c r="H112" s="202"/>
      <c r="I112" s="202"/>
      <c r="J112" s="202">
        <f t="shared" si="4"/>
        <v>125</v>
      </c>
    </row>
    <row r="113" spans="1:10" ht="16" x14ac:dyDescent="0.8">
      <c r="A113" s="200" t="s">
        <v>810</v>
      </c>
      <c r="B113" s="200" t="s">
        <v>607</v>
      </c>
      <c r="C113" s="200" t="s">
        <v>7</v>
      </c>
      <c r="D113" s="200" t="s">
        <v>8</v>
      </c>
      <c r="E113" s="204" t="s">
        <v>41</v>
      </c>
      <c r="F113" s="200" t="s">
        <v>21</v>
      </c>
      <c r="G113" s="202">
        <v>125</v>
      </c>
      <c r="H113" s="202">
        <v>85</v>
      </c>
      <c r="I113" s="202">
        <v>45</v>
      </c>
      <c r="J113" s="202">
        <f t="shared" si="4"/>
        <v>255</v>
      </c>
    </row>
    <row r="114" spans="1:10" ht="16" x14ac:dyDescent="0.8">
      <c r="A114" s="200" t="s">
        <v>810</v>
      </c>
      <c r="B114" s="200" t="s">
        <v>676</v>
      </c>
      <c r="C114" s="200" t="s">
        <v>365</v>
      </c>
      <c r="D114" s="200" t="s">
        <v>15</v>
      </c>
      <c r="E114" s="200"/>
      <c r="F114" s="200"/>
      <c r="G114" s="202">
        <v>40</v>
      </c>
      <c r="H114" s="202"/>
      <c r="I114" s="202"/>
      <c r="J114" s="202">
        <f t="shared" si="4"/>
        <v>40</v>
      </c>
    </row>
    <row r="115" spans="1:10" ht="16" x14ac:dyDescent="0.8">
      <c r="A115" s="200" t="s">
        <v>810</v>
      </c>
      <c r="B115" s="200" t="s">
        <v>569</v>
      </c>
      <c r="C115" s="200" t="s">
        <v>365</v>
      </c>
      <c r="D115" s="200" t="s">
        <v>15</v>
      </c>
      <c r="E115" s="200"/>
      <c r="F115" s="200"/>
      <c r="G115" s="202">
        <v>40</v>
      </c>
      <c r="H115" s="202"/>
      <c r="I115" s="202"/>
      <c r="J115" s="202">
        <f t="shared" si="4"/>
        <v>40</v>
      </c>
    </row>
    <row r="116" spans="1:10" ht="16" x14ac:dyDescent="0.8">
      <c r="A116" s="200" t="s">
        <v>810</v>
      </c>
      <c r="B116" s="200" t="s">
        <v>815</v>
      </c>
      <c r="C116" s="200" t="s">
        <v>385</v>
      </c>
      <c r="D116" s="200" t="s">
        <v>8</v>
      </c>
      <c r="E116" s="200" t="s">
        <v>384</v>
      </c>
      <c r="F116" s="200"/>
      <c r="G116" s="202">
        <v>125</v>
      </c>
      <c r="H116" s="202">
        <v>40</v>
      </c>
      <c r="I116" s="202"/>
      <c r="J116" s="203">
        <f>SUM(G116:I116)</f>
        <v>165</v>
      </c>
    </row>
    <row r="117" spans="1:10" ht="16" x14ac:dyDescent="0.8">
      <c r="A117" s="200" t="s">
        <v>810</v>
      </c>
      <c r="B117" s="200" t="s">
        <v>814</v>
      </c>
      <c r="C117" s="200" t="s">
        <v>385</v>
      </c>
      <c r="D117" s="200" t="s">
        <v>15</v>
      </c>
      <c r="E117" s="200"/>
      <c r="F117" s="200"/>
      <c r="G117" s="202">
        <v>40</v>
      </c>
      <c r="H117" s="200"/>
      <c r="I117" s="200"/>
      <c r="J117" s="203">
        <f>SUM(G117:I117)</f>
        <v>40</v>
      </c>
    </row>
    <row r="118" spans="1:10" ht="15.5" customHeight="1" x14ac:dyDescent="0.8">
      <c r="A118" s="200" t="s">
        <v>811</v>
      </c>
      <c r="B118" s="200" t="s">
        <v>678</v>
      </c>
      <c r="C118" s="200" t="s">
        <v>24</v>
      </c>
      <c r="D118" s="200" t="s">
        <v>15</v>
      </c>
      <c r="E118" s="200"/>
      <c r="F118" s="200"/>
      <c r="G118" s="202">
        <v>40</v>
      </c>
      <c r="H118" s="202"/>
      <c r="I118" s="202"/>
      <c r="J118" s="202">
        <f>SUM(G118:I118)</f>
        <v>40</v>
      </c>
    </row>
    <row r="119" spans="1:10" ht="15" customHeight="1" x14ac:dyDescent="0.8">
      <c r="A119" s="200" t="s">
        <v>811</v>
      </c>
      <c r="B119" s="200" t="s">
        <v>652</v>
      </c>
      <c r="C119" s="200" t="s">
        <v>385</v>
      </c>
      <c r="D119" s="200" t="s">
        <v>15</v>
      </c>
      <c r="E119" s="200"/>
      <c r="F119" s="200"/>
      <c r="G119" s="202">
        <v>40</v>
      </c>
      <c r="H119" s="202"/>
      <c r="I119" s="202"/>
      <c r="J119" s="202">
        <f t="shared" ref="J119:J131" si="5">SUM(G119:I119)</f>
        <v>40</v>
      </c>
    </row>
    <row r="120" spans="1:10" ht="15" customHeight="1" x14ac:dyDescent="0.8">
      <c r="A120" s="200" t="s">
        <v>811</v>
      </c>
      <c r="B120" s="200" t="s">
        <v>673</v>
      </c>
      <c r="C120" s="200" t="s">
        <v>24</v>
      </c>
      <c r="D120" s="200" t="s">
        <v>8</v>
      </c>
      <c r="E120" s="200"/>
      <c r="F120" s="200"/>
      <c r="G120" s="202">
        <v>125</v>
      </c>
      <c r="H120" s="202"/>
      <c r="I120" s="202"/>
      <c r="J120" s="202">
        <f t="shared" si="5"/>
        <v>125</v>
      </c>
    </row>
    <row r="121" spans="1:10" ht="15" customHeight="1" x14ac:dyDescent="0.8">
      <c r="A121" s="200" t="s">
        <v>811</v>
      </c>
      <c r="B121" s="200" t="s">
        <v>631</v>
      </c>
      <c r="C121" s="200" t="s">
        <v>385</v>
      </c>
      <c r="D121" s="200" t="s">
        <v>15</v>
      </c>
      <c r="E121" s="200"/>
      <c r="F121" s="200"/>
      <c r="G121" s="202">
        <v>40</v>
      </c>
      <c r="H121" s="202"/>
      <c r="I121" s="202"/>
      <c r="J121" s="202">
        <f t="shared" si="5"/>
        <v>40</v>
      </c>
    </row>
    <row r="122" spans="1:10" ht="15" customHeight="1" x14ac:dyDescent="0.8">
      <c r="A122" s="200" t="s">
        <v>811</v>
      </c>
      <c r="B122" s="200" t="s">
        <v>684</v>
      </c>
      <c r="C122" s="200" t="s">
        <v>20</v>
      </c>
      <c r="D122" s="200" t="s">
        <v>8</v>
      </c>
      <c r="E122" s="200" t="s">
        <v>384</v>
      </c>
      <c r="F122" s="200"/>
      <c r="G122" s="202">
        <v>125</v>
      </c>
      <c r="H122" s="202">
        <v>40</v>
      </c>
      <c r="I122" s="202"/>
      <c r="J122" s="202">
        <f t="shared" si="5"/>
        <v>165</v>
      </c>
    </row>
    <row r="123" spans="1:10" ht="15" customHeight="1" x14ac:dyDescent="0.8">
      <c r="A123" s="200" t="s">
        <v>811</v>
      </c>
      <c r="B123" s="200" t="s">
        <v>585</v>
      </c>
      <c r="C123" s="200" t="s">
        <v>385</v>
      </c>
      <c r="D123" s="200" t="s">
        <v>31</v>
      </c>
      <c r="E123" s="200" t="s">
        <v>384</v>
      </c>
      <c r="F123" s="200"/>
      <c r="G123" s="202">
        <v>125</v>
      </c>
      <c r="H123" s="202">
        <v>40</v>
      </c>
      <c r="I123" s="202"/>
      <c r="J123" s="202">
        <f t="shared" si="5"/>
        <v>165</v>
      </c>
    </row>
    <row r="124" spans="1:10" ht="15" customHeight="1" x14ac:dyDescent="0.8">
      <c r="A124" s="200" t="s">
        <v>811</v>
      </c>
      <c r="B124" s="200" t="s">
        <v>685</v>
      </c>
      <c r="C124" s="200" t="s">
        <v>20</v>
      </c>
      <c r="D124" s="200" t="s">
        <v>17</v>
      </c>
      <c r="E124" s="200" t="s">
        <v>384</v>
      </c>
      <c r="F124" s="200"/>
      <c r="G124" s="202">
        <v>105</v>
      </c>
      <c r="H124" s="202">
        <v>40</v>
      </c>
      <c r="I124" s="202"/>
      <c r="J124" s="202">
        <f t="shared" si="5"/>
        <v>145</v>
      </c>
    </row>
    <row r="125" spans="1:10" ht="15" customHeight="1" x14ac:dyDescent="0.8">
      <c r="A125" s="200" t="s">
        <v>811</v>
      </c>
      <c r="B125" s="200" t="s">
        <v>677</v>
      </c>
      <c r="C125" s="200" t="s">
        <v>20</v>
      </c>
      <c r="D125" s="200" t="s">
        <v>8</v>
      </c>
      <c r="E125" s="200" t="s">
        <v>384</v>
      </c>
      <c r="F125" s="200"/>
      <c r="G125" s="202">
        <v>125</v>
      </c>
      <c r="H125" s="202">
        <v>40</v>
      </c>
      <c r="I125" s="202"/>
      <c r="J125" s="202">
        <f t="shared" si="5"/>
        <v>165</v>
      </c>
    </row>
    <row r="126" spans="1:10" ht="15" customHeight="1" x14ac:dyDescent="0.8">
      <c r="A126" s="200" t="s">
        <v>811</v>
      </c>
      <c r="B126" s="200" t="s">
        <v>653</v>
      </c>
      <c r="C126" s="200" t="s">
        <v>24</v>
      </c>
      <c r="D126" s="200" t="s">
        <v>15</v>
      </c>
      <c r="E126" s="200"/>
      <c r="F126" s="200"/>
      <c r="G126" s="202">
        <v>40</v>
      </c>
      <c r="H126" s="202"/>
      <c r="I126" s="202"/>
      <c r="J126" s="202">
        <f t="shared" si="5"/>
        <v>40</v>
      </c>
    </row>
    <row r="127" spans="1:10" ht="15" customHeight="1" x14ac:dyDescent="0.8">
      <c r="A127" s="200" t="s">
        <v>811</v>
      </c>
      <c r="B127" s="200" t="s">
        <v>679</v>
      </c>
      <c r="C127" s="200" t="s">
        <v>24</v>
      </c>
      <c r="D127" s="200" t="s">
        <v>15</v>
      </c>
      <c r="E127" s="200"/>
      <c r="F127" s="200"/>
      <c r="G127" s="202">
        <v>40</v>
      </c>
      <c r="H127" s="202"/>
      <c r="I127" s="202"/>
      <c r="J127" s="202">
        <f t="shared" si="5"/>
        <v>40</v>
      </c>
    </row>
    <row r="128" spans="1:10" ht="15" customHeight="1" x14ac:dyDescent="0.8">
      <c r="A128" s="200" t="s">
        <v>811</v>
      </c>
      <c r="B128" s="200" t="s">
        <v>671</v>
      </c>
      <c r="C128" s="200" t="s">
        <v>20</v>
      </c>
      <c r="D128" s="200" t="s">
        <v>33</v>
      </c>
      <c r="E128" s="200" t="s">
        <v>384</v>
      </c>
      <c r="F128" s="200"/>
      <c r="G128" s="202">
        <v>85</v>
      </c>
      <c r="H128" s="202">
        <v>40</v>
      </c>
      <c r="I128" s="202"/>
      <c r="J128" s="202">
        <f t="shared" si="5"/>
        <v>125</v>
      </c>
    </row>
    <row r="129" spans="1:10" ht="15" customHeight="1" x14ac:dyDescent="0.8">
      <c r="A129" s="200" t="s">
        <v>811</v>
      </c>
      <c r="B129" s="200" t="s">
        <v>654</v>
      </c>
      <c r="C129" s="200" t="s">
        <v>24</v>
      </c>
      <c r="D129" s="200" t="s">
        <v>15</v>
      </c>
      <c r="E129" s="200"/>
      <c r="F129" s="200"/>
      <c r="G129" s="202">
        <v>40</v>
      </c>
      <c r="H129" s="202"/>
      <c r="I129" s="202"/>
      <c r="J129" s="202">
        <f t="shared" si="5"/>
        <v>40</v>
      </c>
    </row>
    <row r="130" spans="1:10" ht="15" customHeight="1" x14ac:dyDescent="0.8">
      <c r="A130" s="200" t="s">
        <v>811</v>
      </c>
      <c r="B130" s="200" t="s">
        <v>680</v>
      </c>
      <c r="C130" s="200" t="s">
        <v>20</v>
      </c>
      <c r="D130" s="200" t="s">
        <v>8</v>
      </c>
      <c r="E130" s="200" t="s">
        <v>384</v>
      </c>
      <c r="F130" s="200"/>
      <c r="G130" s="202">
        <v>125</v>
      </c>
      <c r="H130" s="202">
        <v>40</v>
      </c>
      <c r="I130" s="202"/>
      <c r="J130" s="202">
        <f t="shared" si="5"/>
        <v>165</v>
      </c>
    </row>
    <row r="131" spans="1:10" ht="15" customHeight="1" x14ac:dyDescent="0.8">
      <c r="A131" s="200" t="s">
        <v>811</v>
      </c>
      <c r="B131" s="200" t="s">
        <v>662</v>
      </c>
      <c r="C131" s="200" t="s">
        <v>24</v>
      </c>
      <c r="D131" s="200" t="s">
        <v>8</v>
      </c>
      <c r="E131" s="200" t="s">
        <v>384</v>
      </c>
      <c r="F131" s="200"/>
      <c r="G131" s="201">
        <v>125</v>
      </c>
      <c r="H131" s="202">
        <v>40</v>
      </c>
      <c r="I131" s="202"/>
      <c r="J131" s="202">
        <f t="shared" si="5"/>
        <v>165</v>
      </c>
    </row>
    <row r="132" spans="1:10" x14ac:dyDescent="0.75">
      <c r="J132" s="205">
        <f>SUM(J2:J131)</f>
        <v>17450</v>
      </c>
    </row>
  </sheetData>
  <conditionalFormatting sqref="B132:B1048576 B1">
    <cfRule type="duplicateValues" dxfId="92" priority="34"/>
    <cfRule type="duplicateValues" dxfId="91" priority="35"/>
  </conditionalFormatting>
  <conditionalFormatting sqref="B132:B1048576 B1">
    <cfRule type="duplicateValues" dxfId="90" priority="33"/>
  </conditionalFormatting>
  <conditionalFormatting sqref="B132:B1048576">
    <cfRule type="duplicateValues" dxfId="89" priority="32"/>
  </conditionalFormatting>
  <conditionalFormatting sqref="B132:B1048576 B1">
    <cfRule type="duplicateValues" dxfId="88" priority="31"/>
  </conditionalFormatting>
  <conditionalFormatting sqref="B132:B1048576">
    <cfRule type="duplicateValues" dxfId="87" priority="30"/>
  </conditionalFormatting>
  <conditionalFormatting sqref="B2:B30">
    <cfRule type="duplicateValues" dxfId="86" priority="26"/>
    <cfRule type="duplicateValues" dxfId="85" priority="27"/>
    <cfRule type="duplicateValues" dxfId="84" priority="28"/>
    <cfRule type="duplicateValues" dxfId="83" priority="29"/>
  </conditionalFormatting>
  <conditionalFormatting sqref="B31:B55">
    <cfRule type="duplicateValues" dxfId="82" priority="22"/>
    <cfRule type="duplicateValues" dxfId="81" priority="23"/>
    <cfRule type="duplicateValues" dxfId="80" priority="24"/>
    <cfRule type="duplicateValues" dxfId="79" priority="25"/>
  </conditionalFormatting>
  <conditionalFormatting sqref="B56:B69">
    <cfRule type="duplicateValues" dxfId="78" priority="17"/>
    <cfRule type="duplicateValues" dxfId="77" priority="18"/>
    <cfRule type="duplicateValues" dxfId="76" priority="19"/>
    <cfRule type="duplicateValues" dxfId="75" priority="20"/>
    <cfRule type="duplicateValues" dxfId="74" priority="21"/>
  </conditionalFormatting>
  <conditionalFormatting sqref="B70:B93">
    <cfRule type="duplicateValues" dxfId="73" priority="12"/>
    <cfRule type="duplicateValues" dxfId="72" priority="13"/>
    <cfRule type="duplicateValues" dxfId="71" priority="14"/>
    <cfRule type="duplicateValues" dxfId="70" priority="15"/>
    <cfRule type="duplicateValues" dxfId="69" priority="16"/>
  </conditionalFormatting>
  <conditionalFormatting sqref="B94:B117">
    <cfRule type="duplicateValues" dxfId="68" priority="6"/>
    <cfRule type="duplicateValues" dxfId="67" priority="7"/>
    <cfRule type="duplicateValues" dxfId="66" priority="8"/>
    <cfRule type="duplicateValues" dxfId="65" priority="9"/>
    <cfRule type="duplicateValues" dxfId="64" priority="10"/>
    <cfRule type="duplicateValues" dxfId="63" priority="11"/>
  </conditionalFormatting>
  <conditionalFormatting sqref="B118:B131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5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B47F-AB5E-47EA-A137-24077DBF1800}">
  <sheetPr>
    <tabColor rgb="FF00B050"/>
  </sheetPr>
  <dimension ref="A1:K121"/>
  <sheetViews>
    <sheetView tabSelected="1" topLeftCell="E101" workbookViewId="0">
      <selection activeCell="D26" sqref="D26"/>
    </sheetView>
  </sheetViews>
  <sheetFormatPr defaultRowHeight="15" customHeight="1" x14ac:dyDescent="0.8"/>
  <cols>
    <col min="1" max="1" width="24.5" style="168" customWidth="1"/>
    <col min="2" max="2" width="17.9140625" style="168" customWidth="1"/>
    <col min="3" max="3" width="22.75" style="168" customWidth="1"/>
    <col min="4" max="4" width="59.1640625" style="168" customWidth="1"/>
    <col min="5" max="5" width="49.9140625" style="168" customWidth="1"/>
    <col min="6" max="6" width="62.1640625" style="168" customWidth="1"/>
    <col min="7" max="7" width="16.25" style="168" customWidth="1"/>
    <col min="8" max="8" width="13.1640625" style="168" customWidth="1"/>
    <col min="9" max="10" width="14.4140625" style="168" customWidth="1"/>
    <col min="11" max="16384" width="8.6640625" style="168"/>
  </cols>
  <sheetData>
    <row r="1" spans="1:11" ht="15" customHeight="1" x14ac:dyDescent="0.8">
      <c r="A1" s="171" t="s">
        <v>0</v>
      </c>
      <c r="B1" s="171" t="s">
        <v>1</v>
      </c>
      <c r="C1" s="172" t="s">
        <v>2</v>
      </c>
      <c r="D1" s="173" t="s">
        <v>3</v>
      </c>
      <c r="E1" s="173" t="s">
        <v>4</v>
      </c>
      <c r="F1" s="174" t="s">
        <v>4</v>
      </c>
      <c r="G1" s="175" t="s">
        <v>100</v>
      </c>
      <c r="H1" s="175" t="s">
        <v>98</v>
      </c>
      <c r="I1" s="175" t="s">
        <v>99</v>
      </c>
      <c r="J1" s="176" t="s">
        <v>97</v>
      </c>
    </row>
    <row r="2" spans="1:11" ht="15" customHeight="1" x14ac:dyDescent="0.8">
      <c r="A2" s="169" t="s">
        <v>798</v>
      </c>
      <c r="B2" s="177" t="s">
        <v>728</v>
      </c>
      <c r="C2" s="169" t="s">
        <v>20</v>
      </c>
      <c r="D2" s="169" t="s">
        <v>8</v>
      </c>
      <c r="E2" s="169" t="s">
        <v>384</v>
      </c>
      <c r="F2" s="169"/>
      <c r="G2" s="178">
        <v>125</v>
      </c>
      <c r="H2" s="178">
        <v>40</v>
      </c>
      <c r="I2" s="178"/>
      <c r="J2" s="178">
        <f>SUM(G2:I2)</f>
        <v>165</v>
      </c>
      <c r="K2" s="179"/>
    </row>
    <row r="3" spans="1:11" ht="15" customHeight="1" x14ac:dyDescent="0.8">
      <c r="A3" s="169" t="s">
        <v>798</v>
      </c>
      <c r="B3" s="177" t="s">
        <v>768</v>
      </c>
      <c r="C3" s="169" t="s">
        <v>20</v>
      </c>
      <c r="D3" s="169" t="s">
        <v>15</v>
      </c>
      <c r="E3" s="169"/>
      <c r="F3" s="169"/>
      <c r="G3" s="178">
        <v>40</v>
      </c>
      <c r="H3" s="178"/>
      <c r="I3" s="178"/>
      <c r="J3" s="178">
        <f t="shared" ref="J3:J21" si="0">SUM(G3:I3)</f>
        <v>40</v>
      </c>
    </row>
    <row r="4" spans="1:11" ht="15" customHeight="1" x14ac:dyDescent="0.8">
      <c r="A4" s="169" t="s">
        <v>798</v>
      </c>
      <c r="B4" s="177" t="s">
        <v>722</v>
      </c>
      <c r="C4" s="169" t="s">
        <v>20</v>
      </c>
      <c r="D4" s="169" t="s">
        <v>15</v>
      </c>
      <c r="E4" s="169"/>
      <c r="F4" s="169"/>
      <c r="G4" s="178">
        <v>40</v>
      </c>
      <c r="H4" s="178"/>
      <c r="I4" s="178"/>
      <c r="J4" s="178">
        <f t="shared" si="0"/>
        <v>40</v>
      </c>
    </row>
    <row r="5" spans="1:11" ht="15" customHeight="1" x14ac:dyDescent="0.8">
      <c r="A5" s="169" t="s">
        <v>798</v>
      </c>
      <c r="B5" s="177" t="s">
        <v>726</v>
      </c>
      <c r="C5" s="169" t="s">
        <v>20</v>
      </c>
      <c r="D5" s="169" t="s">
        <v>33</v>
      </c>
      <c r="E5" s="169" t="s">
        <v>384</v>
      </c>
      <c r="F5" s="169"/>
      <c r="G5" s="178">
        <v>85</v>
      </c>
      <c r="H5" s="178">
        <v>40</v>
      </c>
      <c r="I5" s="178"/>
      <c r="J5" s="178">
        <f t="shared" si="0"/>
        <v>125</v>
      </c>
    </row>
    <row r="6" spans="1:11" ht="15" customHeight="1" x14ac:dyDescent="0.8">
      <c r="A6" s="169" t="s">
        <v>798</v>
      </c>
      <c r="B6" s="177" t="s">
        <v>704</v>
      </c>
      <c r="C6" s="169" t="s">
        <v>20</v>
      </c>
      <c r="D6" s="169" t="s">
        <v>30</v>
      </c>
      <c r="E6" s="169" t="s">
        <v>384</v>
      </c>
      <c r="F6" s="206" t="s">
        <v>816</v>
      </c>
      <c r="G6" s="178">
        <v>185</v>
      </c>
      <c r="H6" s="178">
        <v>40</v>
      </c>
      <c r="I6" s="178">
        <v>225</v>
      </c>
      <c r="J6" s="178">
        <f t="shared" si="0"/>
        <v>450</v>
      </c>
      <c r="K6" s="179"/>
    </row>
    <row r="7" spans="1:11" ht="15" customHeight="1" x14ac:dyDescent="0.8">
      <c r="A7" s="169" t="s">
        <v>798</v>
      </c>
      <c r="B7" s="177" t="s">
        <v>716</v>
      </c>
      <c r="C7" s="169" t="s">
        <v>20</v>
      </c>
      <c r="D7" s="169" t="s">
        <v>15</v>
      </c>
      <c r="E7" s="169"/>
      <c r="F7" s="169"/>
      <c r="G7" s="178">
        <v>40</v>
      </c>
      <c r="H7" s="178"/>
      <c r="I7" s="178"/>
      <c r="J7" s="178">
        <f t="shared" si="0"/>
        <v>40</v>
      </c>
      <c r="K7" s="179"/>
    </row>
    <row r="8" spans="1:11" ht="15" customHeight="1" x14ac:dyDescent="0.8">
      <c r="A8" s="169" t="s">
        <v>798</v>
      </c>
      <c r="B8" s="177" t="s">
        <v>714</v>
      </c>
      <c r="C8" s="169" t="s">
        <v>20</v>
      </c>
      <c r="D8" s="169" t="s">
        <v>8</v>
      </c>
      <c r="E8" s="169" t="s">
        <v>384</v>
      </c>
      <c r="F8" s="169"/>
      <c r="G8" s="178">
        <v>125</v>
      </c>
      <c r="H8" s="178">
        <v>40</v>
      </c>
      <c r="I8" s="178"/>
      <c r="J8" s="178">
        <f t="shared" si="0"/>
        <v>165</v>
      </c>
    </row>
    <row r="9" spans="1:11" ht="15" customHeight="1" x14ac:dyDescent="0.8">
      <c r="A9" s="169" t="s">
        <v>798</v>
      </c>
      <c r="B9" s="177" t="s">
        <v>727</v>
      </c>
      <c r="C9" s="169" t="s">
        <v>20</v>
      </c>
      <c r="D9" s="169" t="s">
        <v>33</v>
      </c>
      <c r="E9" s="169" t="s">
        <v>384</v>
      </c>
      <c r="F9" s="169"/>
      <c r="G9" s="178">
        <v>85</v>
      </c>
      <c r="H9" s="178">
        <v>40</v>
      </c>
      <c r="I9" s="178"/>
      <c r="J9" s="178">
        <f t="shared" si="0"/>
        <v>125</v>
      </c>
      <c r="K9" s="179"/>
    </row>
    <row r="10" spans="1:11" ht="15" customHeight="1" x14ac:dyDescent="0.8">
      <c r="A10" s="169" t="s">
        <v>798</v>
      </c>
      <c r="B10" s="169" t="s">
        <v>729</v>
      </c>
      <c r="C10" s="169" t="s">
        <v>20</v>
      </c>
      <c r="D10" s="169" t="s">
        <v>8</v>
      </c>
      <c r="E10" s="169" t="s">
        <v>384</v>
      </c>
      <c r="F10" s="169"/>
      <c r="G10" s="178">
        <v>125</v>
      </c>
      <c r="H10" s="178">
        <v>40</v>
      </c>
      <c r="I10" s="178"/>
      <c r="J10" s="178">
        <f t="shared" si="0"/>
        <v>165</v>
      </c>
    </row>
    <row r="11" spans="1:11" ht="15" customHeight="1" x14ac:dyDescent="0.8">
      <c r="A11" s="169" t="s">
        <v>798</v>
      </c>
      <c r="B11" s="177" t="s">
        <v>711</v>
      </c>
      <c r="C11" s="169" t="s">
        <v>385</v>
      </c>
      <c r="D11" s="169" t="s">
        <v>8</v>
      </c>
      <c r="E11" s="169" t="s">
        <v>384</v>
      </c>
      <c r="F11" s="169"/>
      <c r="G11" s="178">
        <v>125</v>
      </c>
      <c r="H11" s="178">
        <v>40</v>
      </c>
      <c r="I11" s="178"/>
      <c r="J11" s="178">
        <f t="shared" si="0"/>
        <v>165</v>
      </c>
    </row>
    <row r="12" spans="1:11" ht="15" customHeight="1" x14ac:dyDescent="0.8">
      <c r="A12" s="169" t="s">
        <v>798</v>
      </c>
      <c r="B12" s="177" t="s">
        <v>723</v>
      </c>
      <c r="C12" s="169" t="s">
        <v>385</v>
      </c>
      <c r="D12" s="169" t="s">
        <v>8</v>
      </c>
      <c r="E12" s="169" t="s">
        <v>384</v>
      </c>
      <c r="F12" s="169"/>
      <c r="G12" s="178">
        <v>125</v>
      </c>
      <c r="H12" s="178">
        <v>40</v>
      </c>
      <c r="I12" s="178"/>
      <c r="J12" s="178">
        <f t="shared" si="0"/>
        <v>165</v>
      </c>
    </row>
    <row r="13" spans="1:11" ht="16" x14ac:dyDescent="0.8">
      <c r="A13" s="169" t="s">
        <v>798</v>
      </c>
      <c r="B13" s="177" t="s">
        <v>724</v>
      </c>
      <c r="C13" s="169" t="s">
        <v>385</v>
      </c>
      <c r="D13" s="169" t="s">
        <v>8</v>
      </c>
      <c r="E13" s="169" t="s">
        <v>384</v>
      </c>
      <c r="F13" s="206" t="s">
        <v>21</v>
      </c>
      <c r="G13" s="178">
        <v>125</v>
      </c>
      <c r="H13" s="178">
        <v>40</v>
      </c>
      <c r="I13" s="178">
        <v>90</v>
      </c>
      <c r="J13" s="178">
        <f t="shared" si="0"/>
        <v>255</v>
      </c>
    </row>
    <row r="14" spans="1:11" ht="16" x14ac:dyDescent="0.8">
      <c r="A14" s="169" t="s">
        <v>798</v>
      </c>
      <c r="B14" s="177" t="s">
        <v>725</v>
      </c>
      <c r="C14" s="169" t="s">
        <v>385</v>
      </c>
      <c r="D14" s="169" t="s">
        <v>8</v>
      </c>
      <c r="E14" s="169" t="s">
        <v>384</v>
      </c>
      <c r="F14" s="169"/>
      <c r="G14" s="178">
        <v>125</v>
      </c>
      <c r="H14" s="180">
        <v>40</v>
      </c>
      <c r="I14" s="180"/>
      <c r="J14" s="178">
        <f t="shared" si="0"/>
        <v>165</v>
      </c>
    </row>
    <row r="15" spans="1:11" ht="16" x14ac:dyDescent="0.8">
      <c r="A15" s="169" t="s">
        <v>798</v>
      </c>
      <c r="B15" s="169" t="s">
        <v>702</v>
      </c>
      <c r="C15" s="169" t="s">
        <v>385</v>
      </c>
      <c r="D15" s="169" t="s">
        <v>17</v>
      </c>
      <c r="E15" s="169" t="s">
        <v>384</v>
      </c>
      <c r="F15" s="169"/>
      <c r="G15" s="181">
        <v>105</v>
      </c>
      <c r="H15" s="182">
        <v>40</v>
      </c>
      <c r="I15" s="182"/>
      <c r="J15" s="178">
        <f t="shared" si="0"/>
        <v>145</v>
      </c>
    </row>
    <row r="16" spans="1:11" ht="16" x14ac:dyDescent="0.8">
      <c r="A16" s="169" t="s">
        <v>798</v>
      </c>
      <c r="B16" s="169" t="s">
        <v>719</v>
      </c>
      <c r="C16" s="169" t="s">
        <v>385</v>
      </c>
      <c r="D16" s="169" t="s">
        <v>8</v>
      </c>
      <c r="E16" s="169" t="s">
        <v>21</v>
      </c>
      <c r="F16" s="169" t="s">
        <v>384</v>
      </c>
      <c r="G16" s="181">
        <v>125</v>
      </c>
      <c r="H16" s="181">
        <v>45</v>
      </c>
      <c r="I16" s="181">
        <v>40</v>
      </c>
      <c r="J16" s="178">
        <f t="shared" si="0"/>
        <v>210</v>
      </c>
    </row>
    <row r="17" spans="1:11" ht="16" x14ac:dyDescent="0.8">
      <c r="A17" s="169" t="s">
        <v>798</v>
      </c>
      <c r="B17" s="169" t="s">
        <v>720</v>
      </c>
      <c r="C17" s="169" t="s">
        <v>385</v>
      </c>
      <c r="D17" s="169" t="s">
        <v>15</v>
      </c>
      <c r="E17" s="169"/>
      <c r="F17" s="169"/>
      <c r="G17" s="181">
        <v>40</v>
      </c>
      <c r="H17" s="181"/>
      <c r="I17" s="181"/>
      <c r="J17" s="178">
        <f t="shared" si="0"/>
        <v>40</v>
      </c>
    </row>
    <row r="18" spans="1:11" ht="16" x14ac:dyDescent="0.8">
      <c r="A18" s="169" t="s">
        <v>798</v>
      </c>
      <c r="B18" s="169" t="s">
        <v>742</v>
      </c>
      <c r="C18" s="169" t="s">
        <v>7</v>
      </c>
      <c r="D18" s="169" t="s">
        <v>8</v>
      </c>
      <c r="E18" s="169" t="s">
        <v>384</v>
      </c>
      <c r="F18" s="169"/>
      <c r="G18" s="181">
        <v>125</v>
      </c>
      <c r="H18" s="181">
        <v>40</v>
      </c>
      <c r="I18" s="181"/>
      <c r="J18" s="178">
        <f t="shared" si="0"/>
        <v>165</v>
      </c>
    </row>
    <row r="19" spans="1:11" ht="16" x14ac:dyDescent="0.8">
      <c r="A19" s="169" t="s">
        <v>798</v>
      </c>
      <c r="B19" s="169" t="s">
        <v>718</v>
      </c>
      <c r="C19" s="169" t="s">
        <v>7</v>
      </c>
      <c r="D19" s="169" t="s">
        <v>8</v>
      </c>
      <c r="E19" s="169" t="s">
        <v>384</v>
      </c>
      <c r="F19" s="169"/>
      <c r="G19" s="178">
        <v>125</v>
      </c>
      <c r="H19" s="178">
        <v>40</v>
      </c>
      <c r="I19" s="178"/>
      <c r="J19" s="178">
        <f t="shared" si="0"/>
        <v>165</v>
      </c>
    </row>
    <row r="20" spans="1:11" ht="16" x14ac:dyDescent="0.8">
      <c r="A20" s="169" t="s">
        <v>798</v>
      </c>
      <c r="B20" s="169" t="s">
        <v>721</v>
      </c>
      <c r="C20" s="169" t="s">
        <v>7</v>
      </c>
      <c r="D20" s="169" t="s">
        <v>33</v>
      </c>
      <c r="E20" s="169" t="s">
        <v>384</v>
      </c>
      <c r="F20" s="169"/>
      <c r="G20" s="178">
        <v>85</v>
      </c>
      <c r="H20" s="178">
        <v>40</v>
      </c>
      <c r="I20" s="178"/>
      <c r="J20" s="178">
        <f t="shared" si="0"/>
        <v>125</v>
      </c>
    </row>
    <row r="21" spans="1:11" s="183" customFormat="1" ht="15" customHeight="1" x14ac:dyDescent="0.8">
      <c r="A21" s="169" t="s">
        <v>798</v>
      </c>
      <c r="B21" s="169" t="s">
        <v>710</v>
      </c>
      <c r="C21" s="169" t="s">
        <v>7</v>
      </c>
      <c r="D21" s="169" t="s">
        <v>8</v>
      </c>
      <c r="E21" s="169" t="s">
        <v>384</v>
      </c>
      <c r="F21" s="169" t="s">
        <v>21</v>
      </c>
      <c r="G21" s="178">
        <v>125</v>
      </c>
      <c r="H21" s="178">
        <v>40</v>
      </c>
      <c r="I21" s="178">
        <v>45</v>
      </c>
      <c r="J21" s="178">
        <f t="shared" si="0"/>
        <v>210</v>
      </c>
    </row>
    <row r="22" spans="1:11" s="183" customFormat="1" ht="15" customHeight="1" x14ac:dyDescent="0.8">
      <c r="A22" s="169" t="s">
        <v>799</v>
      </c>
      <c r="B22" s="169" t="s">
        <v>759</v>
      </c>
      <c r="C22" s="169" t="s">
        <v>385</v>
      </c>
      <c r="D22" s="169" t="s">
        <v>15</v>
      </c>
      <c r="E22" s="169"/>
      <c r="F22" s="169"/>
      <c r="G22" s="178">
        <v>40</v>
      </c>
      <c r="H22" s="178"/>
      <c r="I22" s="178"/>
      <c r="J22" s="178">
        <f>SUM(G22:I22)</f>
        <v>40</v>
      </c>
      <c r="K22" s="184"/>
    </row>
    <row r="23" spans="1:11" s="183" customFormat="1" ht="15" customHeight="1" x14ac:dyDescent="0.8">
      <c r="A23" s="169" t="s">
        <v>799</v>
      </c>
      <c r="B23" s="169" t="s">
        <v>740</v>
      </c>
      <c r="C23" s="169" t="s">
        <v>24</v>
      </c>
      <c r="D23" s="169" t="s">
        <v>15</v>
      </c>
      <c r="E23" s="169"/>
      <c r="F23" s="169"/>
      <c r="G23" s="178">
        <v>40</v>
      </c>
      <c r="H23" s="178"/>
      <c r="I23" s="178"/>
      <c r="J23" s="178">
        <f t="shared" ref="J23:J45" si="1">SUM(G23:I23)</f>
        <v>40</v>
      </c>
      <c r="K23" s="184"/>
    </row>
    <row r="24" spans="1:11" s="183" customFormat="1" ht="15" customHeight="1" x14ac:dyDescent="0.8">
      <c r="A24" s="169" t="s">
        <v>799</v>
      </c>
      <c r="B24" s="169" t="s">
        <v>700</v>
      </c>
      <c r="C24" s="169" t="s">
        <v>20</v>
      </c>
      <c r="D24" s="169" t="s">
        <v>30</v>
      </c>
      <c r="E24" s="169" t="s">
        <v>384</v>
      </c>
      <c r="F24" s="169"/>
      <c r="G24" s="178">
        <v>185</v>
      </c>
      <c r="H24" s="178">
        <v>40</v>
      </c>
      <c r="I24" s="178"/>
      <c r="J24" s="178">
        <f t="shared" si="1"/>
        <v>225</v>
      </c>
    </row>
    <row r="25" spans="1:11" s="183" customFormat="1" ht="15" customHeight="1" x14ac:dyDescent="0.8">
      <c r="A25" s="169" t="s">
        <v>799</v>
      </c>
      <c r="B25" s="169" t="s">
        <v>746</v>
      </c>
      <c r="C25" s="169" t="s">
        <v>24</v>
      </c>
      <c r="D25" s="169" t="s">
        <v>15</v>
      </c>
      <c r="E25" s="169"/>
      <c r="F25" s="169"/>
      <c r="G25" s="178">
        <v>40</v>
      </c>
      <c r="H25" s="178"/>
      <c r="I25" s="178"/>
      <c r="J25" s="178">
        <f t="shared" si="1"/>
        <v>40</v>
      </c>
      <c r="K25" s="184"/>
    </row>
    <row r="26" spans="1:11" s="183" customFormat="1" ht="15" customHeight="1" x14ac:dyDescent="0.8">
      <c r="A26" s="169" t="s">
        <v>799</v>
      </c>
      <c r="B26" s="169" t="s">
        <v>748</v>
      </c>
      <c r="C26" s="169" t="s">
        <v>385</v>
      </c>
      <c r="D26" s="169" t="s">
        <v>17</v>
      </c>
      <c r="E26" s="169"/>
      <c r="F26" s="169"/>
      <c r="G26" s="178">
        <v>105</v>
      </c>
      <c r="H26" s="178"/>
      <c r="I26" s="178"/>
      <c r="J26" s="178">
        <f t="shared" si="1"/>
        <v>105</v>
      </c>
    </row>
    <row r="27" spans="1:11" s="183" customFormat="1" ht="15" customHeight="1" x14ac:dyDescent="0.8">
      <c r="A27" s="169" t="s">
        <v>799</v>
      </c>
      <c r="B27" s="169" t="s">
        <v>732</v>
      </c>
      <c r="C27" s="169" t="s">
        <v>20</v>
      </c>
      <c r="D27" s="169" t="s">
        <v>15</v>
      </c>
      <c r="E27" s="169"/>
      <c r="F27" s="169"/>
      <c r="G27" s="178">
        <v>40</v>
      </c>
      <c r="H27" s="178"/>
      <c r="I27" s="178"/>
      <c r="J27" s="178">
        <f t="shared" si="1"/>
        <v>40</v>
      </c>
    </row>
    <row r="28" spans="1:11" s="183" customFormat="1" ht="15" customHeight="1" x14ac:dyDescent="0.8">
      <c r="A28" s="169" t="s">
        <v>799</v>
      </c>
      <c r="B28" s="169" t="s">
        <v>749</v>
      </c>
      <c r="C28" s="169" t="s">
        <v>24</v>
      </c>
      <c r="D28" s="169" t="s">
        <v>15</v>
      </c>
      <c r="E28" s="169"/>
      <c r="F28" s="169"/>
      <c r="G28" s="178">
        <v>40</v>
      </c>
      <c r="H28" s="178"/>
      <c r="I28" s="178"/>
      <c r="J28" s="178">
        <f t="shared" si="1"/>
        <v>40</v>
      </c>
    </row>
    <row r="29" spans="1:11" s="183" customFormat="1" ht="15" customHeight="1" x14ac:dyDescent="0.8">
      <c r="A29" s="169" t="s">
        <v>799</v>
      </c>
      <c r="B29" s="169" t="s">
        <v>775</v>
      </c>
      <c r="C29" s="169" t="s">
        <v>20</v>
      </c>
      <c r="D29" s="169" t="s">
        <v>8</v>
      </c>
      <c r="E29" s="169" t="s">
        <v>384</v>
      </c>
      <c r="F29" s="169"/>
      <c r="G29" s="178">
        <v>125</v>
      </c>
      <c r="H29" s="178">
        <v>40</v>
      </c>
      <c r="I29" s="178"/>
      <c r="J29" s="178">
        <f t="shared" si="1"/>
        <v>165</v>
      </c>
    </row>
    <row r="30" spans="1:11" s="186" customFormat="1" ht="15" customHeight="1" x14ac:dyDescent="0.8">
      <c r="A30" s="169" t="s">
        <v>799</v>
      </c>
      <c r="B30" s="169" t="s">
        <v>777</v>
      </c>
      <c r="C30" s="169" t="s">
        <v>24</v>
      </c>
      <c r="D30" s="169" t="s">
        <v>8</v>
      </c>
      <c r="E30" s="169"/>
      <c r="F30" s="169"/>
      <c r="G30" s="178">
        <v>125</v>
      </c>
      <c r="H30" s="178"/>
      <c r="I30" s="178"/>
      <c r="J30" s="178">
        <f t="shared" si="1"/>
        <v>125</v>
      </c>
      <c r="K30" s="185"/>
    </row>
    <row r="31" spans="1:11" s="186" customFormat="1" ht="15" customHeight="1" x14ac:dyDescent="0.8">
      <c r="A31" s="169" t="s">
        <v>799</v>
      </c>
      <c r="B31" s="169" t="s">
        <v>753</v>
      </c>
      <c r="C31" s="169" t="s">
        <v>24</v>
      </c>
      <c r="D31" s="169" t="s">
        <v>15</v>
      </c>
      <c r="E31" s="169"/>
      <c r="F31" s="169"/>
      <c r="G31" s="178">
        <v>40</v>
      </c>
      <c r="H31" s="178"/>
      <c r="I31" s="178"/>
      <c r="J31" s="178">
        <f t="shared" si="1"/>
        <v>40</v>
      </c>
    </row>
    <row r="32" spans="1:11" s="186" customFormat="1" ht="15" customHeight="1" x14ac:dyDescent="0.8">
      <c r="A32" s="177" t="s">
        <v>799</v>
      </c>
      <c r="B32" s="177" t="s">
        <v>751</v>
      </c>
      <c r="C32" s="177" t="s">
        <v>20</v>
      </c>
      <c r="D32" s="177" t="s">
        <v>8</v>
      </c>
      <c r="E32" s="177" t="s">
        <v>384</v>
      </c>
      <c r="F32" s="177" t="s">
        <v>802</v>
      </c>
      <c r="G32" s="181">
        <v>125</v>
      </c>
      <c r="H32" s="181">
        <v>40</v>
      </c>
      <c r="I32" s="181">
        <v>30</v>
      </c>
      <c r="J32" s="181">
        <f t="shared" si="1"/>
        <v>195</v>
      </c>
    </row>
    <row r="33" spans="1:11" s="186" customFormat="1" ht="15" customHeight="1" x14ac:dyDescent="0.8">
      <c r="A33" s="177" t="s">
        <v>799</v>
      </c>
      <c r="B33" s="177" t="s">
        <v>697</v>
      </c>
      <c r="C33" s="177" t="s">
        <v>385</v>
      </c>
      <c r="D33" s="177" t="s">
        <v>32</v>
      </c>
      <c r="E33" s="177" t="s">
        <v>384</v>
      </c>
      <c r="F33" s="177"/>
      <c r="G33" s="181">
        <v>155</v>
      </c>
      <c r="H33" s="181">
        <v>40</v>
      </c>
      <c r="I33" s="181"/>
      <c r="J33" s="181">
        <f t="shared" si="1"/>
        <v>195</v>
      </c>
    </row>
    <row r="34" spans="1:11" s="186" customFormat="1" ht="15" customHeight="1" x14ac:dyDescent="0.8">
      <c r="A34" s="177" t="s">
        <v>799</v>
      </c>
      <c r="B34" s="177" t="s">
        <v>717</v>
      </c>
      <c r="C34" s="177" t="s">
        <v>385</v>
      </c>
      <c r="D34" s="177" t="s">
        <v>15</v>
      </c>
      <c r="E34" s="177"/>
      <c r="F34" s="177"/>
      <c r="G34" s="181">
        <v>40</v>
      </c>
      <c r="H34" s="182"/>
      <c r="I34" s="182"/>
      <c r="J34" s="181">
        <f t="shared" si="1"/>
        <v>40</v>
      </c>
      <c r="K34" s="185"/>
    </row>
    <row r="35" spans="1:11" s="186" customFormat="1" ht="15" customHeight="1" x14ac:dyDescent="0.8">
      <c r="A35" s="177" t="s">
        <v>799</v>
      </c>
      <c r="B35" s="177" t="s">
        <v>731</v>
      </c>
      <c r="C35" s="177" t="s">
        <v>24</v>
      </c>
      <c r="D35" s="177" t="s">
        <v>41</v>
      </c>
      <c r="E35" s="177"/>
      <c r="F35" s="177"/>
      <c r="G35" s="181">
        <v>85</v>
      </c>
      <c r="H35" s="182"/>
      <c r="I35" s="182"/>
      <c r="J35" s="181">
        <f t="shared" si="1"/>
        <v>85</v>
      </c>
      <c r="K35" s="185"/>
    </row>
    <row r="36" spans="1:11" s="186" customFormat="1" ht="15" customHeight="1" x14ac:dyDescent="0.8">
      <c r="A36" s="177" t="s">
        <v>799</v>
      </c>
      <c r="B36" s="177" t="s">
        <v>739</v>
      </c>
      <c r="C36" s="177" t="s">
        <v>385</v>
      </c>
      <c r="D36" s="177" t="s">
        <v>8</v>
      </c>
      <c r="E36" s="177" t="s">
        <v>384</v>
      </c>
      <c r="F36" s="177" t="s">
        <v>802</v>
      </c>
      <c r="G36" s="181">
        <v>125</v>
      </c>
      <c r="H36" s="181">
        <v>40</v>
      </c>
      <c r="I36" s="181">
        <v>30</v>
      </c>
      <c r="J36" s="181">
        <f t="shared" si="1"/>
        <v>195</v>
      </c>
    </row>
    <row r="37" spans="1:11" ht="15" customHeight="1" x14ac:dyDescent="0.8">
      <c r="A37" s="177" t="s">
        <v>799</v>
      </c>
      <c r="B37" s="177" t="s">
        <v>734</v>
      </c>
      <c r="C37" s="177" t="s">
        <v>24</v>
      </c>
      <c r="D37" s="177" t="s">
        <v>8</v>
      </c>
      <c r="E37" s="177"/>
      <c r="F37" s="177"/>
      <c r="G37" s="181">
        <v>125</v>
      </c>
      <c r="H37" s="181"/>
      <c r="I37" s="181"/>
      <c r="J37" s="181">
        <f t="shared" si="1"/>
        <v>125</v>
      </c>
    </row>
    <row r="38" spans="1:11" ht="15" customHeight="1" x14ac:dyDescent="0.8">
      <c r="A38" s="177" t="s">
        <v>799</v>
      </c>
      <c r="B38" s="177" t="s">
        <v>733</v>
      </c>
      <c r="C38" s="177" t="s">
        <v>20</v>
      </c>
      <c r="D38" s="177" t="s">
        <v>32</v>
      </c>
      <c r="E38" s="177" t="s">
        <v>384</v>
      </c>
      <c r="F38" s="177"/>
      <c r="G38" s="181">
        <v>155</v>
      </c>
      <c r="H38" s="181">
        <v>40</v>
      </c>
      <c r="I38" s="181"/>
      <c r="J38" s="181">
        <f t="shared" si="1"/>
        <v>195</v>
      </c>
    </row>
    <row r="39" spans="1:11" s="186" customFormat="1" ht="15" customHeight="1" x14ac:dyDescent="0.8">
      <c r="A39" s="177" t="s">
        <v>799</v>
      </c>
      <c r="B39" s="177" t="s">
        <v>735</v>
      </c>
      <c r="C39" s="177" t="s">
        <v>24</v>
      </c>
      <c r="D39" s="177" t="s">
        <v>8</v>
      </c>
      <c r="E39" s="177" t="s">
        <v>384</v>
      </c>
      <c r="F39" s="177"/>
      <c r="G39" s="181">
        <v>125</v>
      </c>
      <c r="H39" s="181">
        <v>40</v>
      </c>
      <c r="I39" s="181"/>
      <c r="J39" s="181">
        <f t="shared" si="1"/>
        <v>165</v>
      </c>
      <c r="K39" s="185"/>
    </row>
    <row r="40" spans="1:11" s="186" customFormat="1" ht="15" customHeight="1" x14ac:dyDescent="0.8">
      <c r="A40" s="177" t="s">
        <v>799</v>
      </c>
      <c r="B40" s="177" t="s">
        <v>730</v>
      </c>
      <c r="C40" s="177" t="s">
        <v>7</v>
      </c>
      <c r="D40" s="177" t="s">
        <v>15</v>
      </c>
      <c r="E40" s="177"/>
      <c r="F40" s="177"/>
      <c r="G40" s="181">
        <v>40</v>
      </c>
      <c r="H40" s="181"/>
      <c r="I40" s="181"/>
      <c r="J40" s="181">
        <f t="shared" si="1"/>
        <v>40</v>
      </c>
    </row>
    <row r="41" spans="1:11" s="186" customFormat="1" ht="15" customHeight="1" x14ac:dyDescent="0.8">
      <c r="A41" s="177" t="s">
        <v>799</v>
      </c>
      <c r="B41" s="177" t="s">
        <v>737</v>
      </c>
      <c r="C41" s="177" t="s">
        <v>7</v>
      </c>
      <c r="D41" s="177" t="s">
        <v>15</v>
      </c>
      <c r="E41" s="177"/>
      <c r="F41" s="177"/>
      <c r="G41" s="181">
        <v>40</v>
      </c>
      <c r="H41" s="181"/>
      <c r="I41" s="181"/>
      <c r="J41" s="181">
        <f t="shared" si="1"/>
        <v>40</v>
      </c>
      <c r="K41" s="185"/>
    </row>
    <row r="42" spans="1:11" s="186" customFormat="1" ht="15" customHeight="1" x14ac:dyDescent="0.8">
      <c r="A42" s="177" t="s">
        <v>799</v>
      </c>
      <c r="B42" s="177" t="s">
        <v>744</v>
      </c>
      <c r="C42" s="177" t="s">
        <v>7</v>
      </c>
      <c r="D42" s="177" t="s">
        <v>15</v>
      </c>
      <c r="E42" s="177"/>
      <c r="F42" s="177"/>
      <c r="G42" s="181">
        <v>40</v>
      </c>
      <c r="H42" s="181"/>
      <c r="I42" s="181"/>
      <c r="J42" s="181">
        <f t="shared" si="1"/>
        <v>40</v>
      </c>
    </row>
    <row r="43" spans="1:11" s="186" customFormat="1" ht="15" customHeight="1" x14ac:dyDescent="0.8">
      <c r="A43" s="177" t="s">
        <v>799</v>
      </c>
      <c r="B43" s="177" t="s">
        <v>736</v>
      </c>
      <c r="C43" s="177" t="s">
        <v>7</v>
      </c>
      <c r="D43" s="177" t="s">
        <v>8</v>
      </c>
      <c r="E43" s="177" t="s">
        <v>384</v>
      </c>
      <c r="F43" s="177" t="s">
        <v>21</v>
      </c>
      <c r="G43" s="181">
        <v>125</v>
      </c>
      <c r="H43" s="181">
        <v>40</v>
      </c>
      <c r="I43" s="181">
        <v>90</v>
      </c>
      <c r="J43" s="181">
        <f t="shared" si="1"/>
        <v>255</v>
      </c>
    </row>
    <row r="44" spans="1:11" s="186" customFormat="1" ht="15" customHeight="1" x14ac:dyDescent="0.8">
      <c r="A44" s="177" t="s">
        <v>799</v>
      </c>
      <c r="B44" s="177" t="s">
        <v>778</v>
      </c>
      <c r="C44" s="177" t="s">
        <v>20</v>
      </c>
      <c r="D44" s="188" t="s">
        <v>33</v>
      </c>
      <c r="E44" s="177"/>
      <c r="F44" s="177"/>
      <c r="G44" s="181">
        <v>85</v>
      </c>
      <c r="H44" s="177"/>
      <c r="I44" s="177"/>
      <c r="J44" s="181">
        <f t="shared" si="1"/>
        <v>85</v>
      </c>
      <c r="K44" s="185"/>
    </row>
    <row r="45" spans="1:11" s="186" customFormat="1" ht="15" customHeight="1" x14ac:dyDescent="0.8">
      <c r="A45" s="177" t="s">
        <v>799</v>
      </c>
      <c r="B45" s="177" t="s">
        <v>779</v>
      </c>
      <c r="C45" s="177" t="s">
        <v>20</v>
      </c>
      <c r="D45" s="188" t="s">
        <v>33</v>
      </c>
      <c r="E45" s="177"/>
      <c r="F45" s="177"/>
      <c r="G45" s="181">
        <v>85</v>
      </c>
      <c r="H45" s="177"/>
      <c r="I45" s="177"/>
      <c r="J45" s="181">
        <f t="shared" si="1"/>
        <v>85</v>
      </c>
      <c r="K45" s="185"/>
    </row>
    <row r="46" spans="1:11" s="186" customFormat="1" ht="15" customHeight="1" x14ac:dyDescent="0.8">
      <c r="A46" s="177" t="s">
        <v>799</v>
      </c>
      <c r="B46" s="177" t="s">
        <v>731</v>
      </c>
      <c r="C46" s="177" t="s">
        <v>24</v>
      </c>
      <c r="D46" s="177" t="s">
        <v>15</v>
      </c>
      <c r="E46" s="177"/>
      <c r="F46" s="177"/>
      <c r="G46" s="181">
        <v>40</v>
      </c>
      <c r="H46" s="177"/>
      <c r="I46" s="177"/>
      <c r="J46" s="187">
        <f>SUM(G46:I46)</f>
        <v>40</v>
      </c>
    </row>
    <row r="47" spans="1:11" s="186" customFormat="1" ht="15" customHeight="1" x14ac:dyDescent="0.8">
      <c r="A47" s="177" t="s">
        <v>800</v>
      </c>
      <c r="B47" s="177" t="s">
        <v>749</v>
      </c>
      <c r="C47" s="177" t="s">
        <v>7</v>
      </c>
      <c r="D47" s="177" t="s">
        <v>32</v>
      </c>
      <c r="E47" s="177" t="s">
        <v>384</v>
      </c>
      <c r="F47" s="177"/>
      <c r="G47" s="181">
        <v>155</v>
      </c>
      <c r="H47" s="181">
        <v>40</v>
      </c>
      <c r="I47" s="181"/>
      <c r="J47" s="181">
        <f>SUM(G47:I47)</f>
        <v>195</v>
      </c>
      <c r="K47" s="185"/>
    </row>
    <row r="48" spans="1:11" s="186" customFormat="1" ht="15" customHeight="1" x14ac:dyDescent="0.8">
      <c r="A48" s="177" t="s">
        <v>800</v>
      </c>
      <c r="B48" s="177" t="s">
        <v>712</v>
      </c>
      <c r="C48" s="177" t="s">
        <v>7</v>
      </c>
      <c r="D48" s="177" t="s">
        <v>17</v>
      </c>
      <c r="E48" s="177"/>
      <c r="F48" s="177"/>
      <c r="G48" s="181">
        <v>105</v>
      </c>
      <c r="H48" s="181"/>
      <c r="I48" s="181"/>
      <c r="J48" s="181">
        <f t="shared" ref="J48:J66" si="2">SUM(G48:I48)</f>
        <v>105</v>
      </c>
    </row>
    <row r="49" spans="1:11" s="186" customFormat="1" ht="15" customHeight="1" x14ac:dyDescent="0.8">
      <c r="A49" s="177" t="s">
        <v>800</v>
      </c>
      <c r="B49" s="177" t="s">
        <v>769</v>
      </c>
      <c r="C49" s="177" t="s">
        <v>7</v>
      </c>
      <c r="D49" s="177" t="s">
        <v>15</v>
      </c>
      <c r="E49" s="177"/>
      <c r="F49" s="177"/>
      <c r="G49" s="181">
        <v>40</v>
      </c>
      <c r="H49" s="181"/>
      <c r="I49" s="181"/>
      <c r="J49" s="181">
        <f t="shared" si="2"/>
        <v>40</v>
      </c>
    </row>
    <row r="50" spans="1:11" s="186" customFormat="1" ht="15" customHeight="1" x14ac:dyDescent="0.8">
      <c r="A50" s="177" t="s">
        <v>800</v>
      </c>
      <c r="B50" s="177" t="s">
        <v>745</v>
      </c>
      <c r="C50" s="177" t="s">
        <v>7</v>
      </c>
      <c r="D50" s="177" t="s">
        <v>8</v>
      </c>
      <c r="E50" s="177" t="s">
        <v>384</v>
      </c>
      <c r="F50" s="177" t="s">
        <v>21</v>
      </c>
      <c r="G50" s="181">
        <v>125</v>
      </c>
      <c r="H50" s="181">
        <v>40</v>
      </c>
      <c r="I50" s="181">
        <v>90</v>
      </c>
      <c r="J50" s="181">
        <f t="shared" si="2"/>
        <v>255</v>
      </c>
    </row>
    <row r="51" spans="1:11" s="186" customFormat="1" ht="15" customHeight="1" x14ac:dyDescent="0.8">
      <c r="A51" s="177" t="s">
        <v>800</v>
      </c>
      <c r="B51" s="177" t="s">
        <v>752</v>
      </c>
      <c r="C51" s="177" t="s">
        <v>385</v>
      </c>
      <c r="D51" s="177" t="s">
        <v>8</v>
      </c>
      <c r="E51" s="177" t="s">
        <v>384</v>
      </c>
      <c r="F51" s="177"/>
      <c r="G51" s="181">
        <v>125</v>
      </c>
      <c r="H51" s="181">
        <v>40</v>
      </c>
      <c r="I51" s="181"/>
      <c r="J51" s="181">
        <f t="shared" si="2"/>
        <v>165</v>
      </c>
    </row>
    <row r="52" spans="1:11" s="186" customFormat="1" ht="15" customHeight="1" x14ac:dyDescent="0.8">
      <c r="A52" s="177" t="s">
        <v>800</v>
      </c>
      <c r="B52" s="177" t="s">
        <v>699</v>
      </c>
      <c r="C52" s="177" t="s">
        <v>20</v>
      </c>
      <c r="D52" s="177" t="s">
        <v>31</v>
      </c>
      <c r="E52" s="177" t="s">
        <v>384</v>
      </c>
      <c r="F52" s="177"/>
      <c r="G52" s="181">
        <v>125</v>
      </c>
      <c r="H52" s="181">
        <v>40</v>
      </c>
      <c r="I52" s="181"/>
      <c r="J52" s="181">
        <f t="shared" si="2"/>
        <v>165</v>
      </c>
      <c r="K52" s="185"/>
    </row>
    <row r="53" spans="1:11" s="186" customFormat="1" ht="15" customHeight="1" x14ac:dyDescent="0.8">
      <c r="A53" s="177" t="s">
        <v>800</v>
      </c>
      <c r="B53" s="177" t="s">
        <v>762</v>
      </c>
      <c r="C53" s="177" t="s">
        <v>385</v>
      </c>
      <c r="D53" s="177" t="s">
        <v>33</v>
      </c>
      <c r="E53" s="177" t="s">
        <v>384</v>
      </c>
      <c r="F53" s="177"/>
      <c r="G53" s="181">
        <v>85</v>
      </c>
      <c r="H53" s="181">
        <v>40</v>
      </c>
      <c r="I53" s="181"/>
      <c r="J53" s="181">
        <f t="shared" si="2"/>
        <v>125</v>
      </c>
    </row>
    <row r="54" spans="1:11" s="186" customFormat="1" ht="15" customHeight="1" x14ac:dyDescent="0.8">
      <c r="A54" s="177" t="s">
        <v>800</v>
      </c>
      <c r="B54" s="177" t="s">
        <v>747</v>
      </c>
      <c r="C54" s="177" t="s">
        <v>24</v>
      </c>
      <c r="D54" s="177" t="s">
        <v>8</v>
      </c>
      <c r="E54" s="177" t="s">
        <v>384</v>
      </c>
      <c r="F54" s="177"/>
      <c r="G54" s="181">
        <v>125</v>
      </c>
      <c r="H54" s="181">
        <v>40</v>
      </c>
      <c r="I54" s="181"/>
      <c r="J54" s="181">
        <f t="shared" si="2"/>
        <v>165</v>
      </c>
      <c r="K54" s="185"/>
    </row>
    <row r="55" spans="1:11" s="186" customFormat="1" ht="15" customHeight="1" x14ac:dyDescent="0.8">
      <c r="A55" s="177" t="s">
        <v>800</v>
      </c>
      <c r="B55" s="177" t="s">
        <v>741</v>
      </c>
      <c r="C55" s="177" t="s">
        <v>24</v>
      </c>
      <c r="D55" s="177" t="s">
        <v>15</v>
      </c>
      <c r="E55" s="177"/>
      <c r="F55" s="177"/>
      <c r="G55" s="181">
        <v>40</v>
      </c>
      <c r="H55" s="181"/>
      <c r="I55" s="181"/>
      <c r="J55" s="181">
        <f t="shared" si="2"/>
        <v>40</v>
      </c>
    </row>
    <row r="56" spans="1:11" s="186" customFormat="1" ht="15" customHeight="1" x14ac:dyDescent="0.8">
      <c r="A56" s="177" t="s">
        <v>800</v>
      </c>
      <c r="B56" s="177" t="s">
        <v>701</v>
      </c>
      <c r="C56" s="177" t="s">
        <v>385</v>
      </c>
      <c r="D56" s="177" t="s">
        <v>17</v>
      </c>
      <c r="E56" s="177"/>
      <c r="F56" s="177"/>
      <c r="G56" s="181">
        <v>105</v>
      </c>
      <c r="H56" s="181"/>
      <c r="I56" s="181"/>
      <c r="J56" s="181">
        <f t="shared" si="2"/>
        <v>105</v>
      </c>
    </row>
    <row r="57" spans="1:11" s="186" customFormat="1" ht="15" customHeight="1" x14ac:dyDescent="0.8">
      <c r="A57" s="177" t="s">
        <v>800</v>
      </c>
      <c r="B57" s="177" t="s">
        <v>755</v>
      </c>
      <c r="C57" s="177" t="s">
        <v>20</v>
      </c>
      <c r="D57" s="177" t="s">
        <v>31</v>
      </c>
      <c r="E57" s="177" t="s">
        <v>384</v>
      </c>
      <c r="F57" s="177"/>
      <c r="G57" s="181">
        <v>125</v>
      </c>
      <c r="H57" s="181">
        <v>40</v>
      </c>
      <c r="I57" s="181"/>
      <c r="J57" s="181">
        <f t="shared" si="2"/>
        <v>165</v>
      </c>
      <c r="K57" s="185"/>
    </row>
    <row r="58" spans="1:11" s="186" customFormat="1" ht="15" customHeight="1" x14ac:dyDescent="0.8">
      <c r="A58" s="177" t="s">
        <v>800</v>
      </c>
      <c r="B58" s="177" t="s">
        <v>770</v>
      </c>
      <c r="C58" s="177" t="s">
        <v>20</v>
      </c>
      <c r="D58" s="177" t="s">
        <v>8</v>
      </c>
      <c r="E58" s="177"/>
      <c r="F58" s="177"/>
      <c r="G58" s="181">
        <v>125</v>
      </c>
      <c r="H58" s="182"/>
      <c r="I58" s="182"/>
      <c r="J58" s="181">
        <f t="shared" si="2"/>
        <v>125</v>
      </c>
      <c r="K58" s="185"/>
    </row>
    <row r="59" spans="1:11" s="186" customFormat="1" ht="15" customHeight="1" x14ac:dyDescent="0.8">
      <c r="A59" s="177" t="s">
        <v>800</v>
      </c>
      <c r="B59" s="177" t="s">
        <v>764</v>
      </c>
      <c r="C59" s="177" t="s">
        <v>385</v>
      </c>
      <c r="D59" s="177" t="s">
        <v>8</v>
      </c>
      <c r="E59" s="177" t="s">
        <v>384</v>
      </c>
      <c r="F59" s="177" t="s">
        <v>21</v>
      </c>
      <c r="G59" s="181">
        <v>125</v>
      </c>
      <c r="H59" s="182">
        <v>40</v>
      </c>
      <c r="I59" s="182">
        <v>45</v>
      </c>
      <c r="J59" s="181">
        <f t="shared" si="2"/>
        <v>210</v>
      </c>
    </row>
    <row r="60" spans="1:11" s="186" customFormat="1" ht="15" customHeight="1" x14ac:dyDescent="0.8">
      <c r="A60" s="177" t="s">
        <v>800</v>
      </c>
      <c r="B60" s="177" t="s">
        <v>771</v>
      </c>
      <c r="C60" s="177" t="s">
        <v>24</v>
      </c>
      <c r="D60" s="177" t="s">
        <v>15</v>
      </c>
      <c r="E60" s="177"/>
      <c r="F60" s="177"/>
      <c r="G60" s="181">
        <v>40</v>
      </c>
      <c r="H60" s="181"/>
      <c r="I60" s="181"/>
      <c r="J60" s="181">
        <f t="shared" si="2"/>
        <v>40</v>
      </c>
      <c r="K60" s="185"/>
    </row>
    <row r="61" spans="1:11" s="186" customFormat="1" ht="15" customHeight="1" x14ac:dyDescent="0.8">
      <c r="A61" s="177" t="s">
        <v>800</v>
      </c>
      <c r="B61" s="177" t="s">
        <v>530</v>
      </c>
      <c r="C61" s="177" t="s">
        <v>24</v>
      </c>
      <c r="D61" s="177" t="s">
        <v>8</v>
      </c>
      <c r="E61" s="177" t="s">
        <v>384</v>
      </c>
      <c r="F61" s="177" t="s">
        <v>21</v>
      </c>
      <c r="G61" s="181">
        <v>125</v>
      </c>
      <c r="H61" s="181">
        <v>40</v>
      </c>
      <c r="I61" s="181">
        <v>45</v>
      </c>
      <c r="J61" s="181">
        <f t="shared" si="2"/>
        <v>210</v>
      </c>
    </row>
    <row r="62" spans="1:11" s="186" customFormat="1" ht="15" customHeight="1" x14ac:dyDescent="0.8">
      <c r="A62" s="177" t="s">
        <v>800</v>
      </c>
      <c r="B62" s="177" t="s">
        <v>757</v>
      </c>
      <c r="C62" s="177" t="s">
        <v>20</v>
      </c>
      <c r="D62" s="177" t="s">
        <v>8</v>
      </c>
      <c r="E62" s="177" t="s">
        <v>384</v>
      </c>
      <c r="F62" s="177"/>
      <c r="G62" s="181">
        <v>125</v>
      </c>
      <c r="H62" s="181">
        <v>40</v>
      </c>
      <c r="I62" s="181"/>
      <c r="J62" s="181">
        <f t="shared" si="2"/>
        <v>165</v>
      </c>
    </row>
    <row r="63" spans="1:11" ht="14.5" customHeight="1" x14ac:dyDescent="0.8">
      <c r="A63" s="177" t="s">
        <v>800</v>
      </c>
      <c r="B63" s="177" t="s">
        <v>763</v>
      </c>
      <c r="C63" s="177" t="s">
        <v>385</v>
      </c>
      <c r="D63" s="177" t="s">
        <v>32</v>
      </c>
      <c r="E63" s="177" t="s">
        <v>384</v>
      </c>
      <c r="F63" s="177"/>
      <c r="G63" s="181">
        <v>155</v>
      </c>
      <c r="H63" s="181">
        <v>40</v>
      </c>
      <c r="I63" s="181"/>
      <c r="J63" s="181">
        <f t="shared" si="2"/>
        <v>195</v>
      </c>
      <c r="K63" s="179"/>
    </row>
    <row r="64" spans="1:11" ht="15" customHeight="1" x14ac:dyDescent="0.8">
      <c r="A64" s="177" t="s">
        <v>800</v>
      </c>
      <c r="B64" s="177" t="s">
        <v>750</v>
      </c>
      <c r="C64" s="177" t="s">
        <v>385</v>
      </c>
      <c r="D64" s="177" t="s">
        <v>8</v>
      </c>
      <c r="E64" s="177" t="s">
        <v>384</v>
      </c>
      <c r="F64" s="177"/>
      <c r="G64" s="181">
        <v>125</v>
      </c>
      <c r="H64" s="181">
        <v>40</v>
      </c>
      <c r="I64" s="181"/>
      <c r="J64" s="181">
        <f t="shared" si="2"/>
        <v>165</v>
      </c>
    </row>
    <row r="65" spans="1:11" ht="15" customHeight="1" x14ac:dyDescent="0.8">
      <c r="A65" s="177" t="s">
        <v>800</v>
      </c>
      <c r="B65" s="177" t="s">
        <v>738</v>
      </c>
      <c r="C65" s="177" t="s">
        <v>20</v>
      </c>
      <c r="D65" s="177" t="s">
        <v>41</v>
      </c>
      <c r="E65" s="177"/>
      <c r="F65" s="177"/>
      <c r="G65" s="181">
        <v>85</v>
      </c>
      <c r="H65" s="181"/>
      <c r="I65" s="181"/>
      <c r="J65" s="181">
        <f t="shared" si="2"/>
        <v>85</v>
      </c>
      <c r="K65" s="179"/>
    </row>
    <row r="66" spans="1:11" ht="15" customHeight="1" x14ac:dyDescent="0.8">
      <c r="A66" s="177" t="s">
        <v>800</v>
      </c>
      <c r="B66" s="177" t="s">
        <v>688</v>
      </c>
      <c r="C66" s="177" t="s">
        <v>24</v>
      </c>
      <c r="D66" s="177" t="s">
        <v>8</v>
      </c>
      <c r="E66" s="177" t="s">
        <v>384</v>
      </c>
      <c r="F66" s="177" t="s">
        <v>21</v>
      </c>
      <c r="G66" s="181">
        <v>125</v>
      </c>
      <c r="H66" s="181">
        <v>40</v>
      </c>
      <c r="I66" s="181">
        <v>45</v>
      </c>
      <c r="J66" s="187">
        <f t="shared" si="2"/>
        <v>210</v>
      </c>
    </row>
    <row r="67" spans="1:11" ht="15" customHeight="1" x14ac:dyDescent="0.8">
      <c r="A67" s="177" t="s">
        <v>801</v>
      </c>
      <c r="B67" s="177" t="s">
        <v>717</v>
      </c>
      <c r="C67" s="177" t="s">
        <v>24</v>
      </c>
      <c r="D67" s="177" t="s">
        <v>15</v>
      </c>
      <c r="E67" s="177"/>
      <c r="F67" s="177"/>
      <c r="G67" s="181">
        <v>40</v>
      </c>
      <c r="H67" s="181"/>
      <c r="I67" s="181"/>
      <c r="J67" s="181">
        <f>SUM(G67:I67)</f>
        <v>40</v>
      </c>
    </row>
    <row r="68" spans="1:11" ht="15" customHeight="1" x14ac:dyDescent="0.8">
      <c r="A68" s="177" t="s">
        <v>801</v>
      </c>
      <c r="B68" s="177" t="s">
        <v>715</v>
      </c>
      <c r="C68" s="177" t="s">
        <v>20</v>
      </c>
      <c r="D68" s="177" t="s">
        <v>30</v>
      </c>
      <c r="E68" s="177" t="s">
        <v>384</v>
      </c>
      <c r="F68" s="177"/>
      <c r="G68" s="181">
        <v>185</v>
      </c>
      <c r="H68" s="181">
        <v>40</v>
      </c>
      <c r="I68" s="181"/>
      <c r="J68" s="181">
        <f t="shared" ref="J68:J86" si="3">SUM(G68:I68)</f>
        <v>225</v>
      </c>
      <c r="K68" s="179"/>
    </row>
    <row r="69" spans="1:11" ht="15" customHeight="1" x14ac:dyDescent="0.8">
      <c r="A69" s="177" t="s">
        <v>801</v>
      </c>
      <c r="B69" s="177" t="s">
        <v>776</v>
      </c>
      <c r="C69" s="177" t="s">
        <v>24</v>
      </c>
      <c r="D69" s="177" t="s">
        <v>8</v>
      </c>
      <c r="E69" s="177"/>
      <c r="F69" s="177"/>
      <c r="G69" s="181">
        <v>125</v>
      </c>
      <c r="H69" s="181"/>
      <c r="I69" s="181"/>
      <c r="J69" s="181">
        <f t="shared" si="3"/>
        <v>125</v>
      </c>
    </row>
    <row r="70" spans="1:11" ht="15" customHeight="1" x14ac:dyDescent="0.8">
      <c r="A70" s="177" t="s">
        <v>801</v>
      </c>
      <c r="B70" s="177" t="s">
        <v>793</v>
      </c>
      <c r="C70" s="177" t="s">
        <v>24</v>
      </c>
      <c r="D70" s="177" t="s">
        <v>33</v>
      </c>
      <c r="E70" s="177"/>
      <c r="F70" s="177"/>
      <c r="G70" s="181">
        <v>85</v>
      </c>
      <c r="H70" s="181"/>
      <c r="I70" s="181"/>
      <c r="J70" s="181">
        <f t="shared" si="3"/>
        <v>85</v>
      </c>
      <c r="K70" s="179"/>
    </row>
    <row r="71" spans="1:11" ht="15" customHeight="1" x14ac:dyDescent="0.8">
      <c r="A71" s="177" t="s">
        <v>801</v>
      </c>
      <c r="B71" s="177" t="s">
        <v>783</v>
      </c>
      <c r="C71" s="177" t="s">
        <v>24</v>
      </c>
      <c r="D71" s="177" t="s">
        <v>8</v>
      </c>
      <c r="E71" s="177" t="s">
        <v>384</v>
      </c>
      <c r="F71" s="177"/>
      <c r="G71" s="181">
        <v>125</v>
      </c>
      <c r="H71" s="181">
        <v>40</v>
      </c>
      <c r="I71" s="181"/>
      <c r="J71" s="181">
        <f t="shared" si="3"/>
        <v>165</v>
      </c>
    </row>
    <row r="72" spans="1:11" ht="15" customHeight="1" x14ac:dyDescent="0.8">
      <c r="A72" s="177" t="s">
        <v>801</v>
      </c>
      <c r="B72" s="177" t="s">
        <v>705</v>
      </c>
      <c r="C72" s="177" t="s">
        <v>20</v>
      </c>
      <c r="D72" s="177" t="s">
        <v>17</v>
      </c>
      <c r="E72" s="177"/>
      <c r="F72" s="177"/>
      <c r="G72" s="181">
        <v>105</v>
      </c>
      <c r="H72" s="181"/>
      <c r="I72" s="181"/>
      <c r="J72" s="181">
        <f t="shared" si="3"/>
        <v>105</v>
      </c>
    </row>
    <row r="73" spans="1:11" ht="15" customHeight="1" x14ac:dyDescent="0.8">
      <c r="A73" s="177" t="s">
        <v>801</v>
      </c>
      <c r="B73" s="177" t="s">
        <v>760</v>
      </c>
      <c r="C73" s="177" t="s">
        <v>24</v>
      </c>
      <c r="D73" s="177" t="s">
        <v>31</v>
      </c>
      <c r="E73" s="177" t="s">
        <v>384</v>
      </c>
      <c r="F73" s="177"/>
      <c r="G73" s="181">
        <v>125</v>
      </c>
      <c r="H73" s="181">
        <v>40</v>
      </c>
      <c r="I73" s="181"/>
      <c r="J73" s="181">
        <f t="shared" si="3"/>
        <v>165</v>
      </c>
    </row>
    <row r="74" spans="1:11" ht="16" x14ac:dyDescent="0.8">
      <c r="A74" s="177" t="s">
        <v>801</v>
      </c>
      <c r="B74" s="177" t="s">
        <v>782</v>
      </c>
      <c r="C74" s="177" t="s">
        <v>20</v>
      </c>
      <c r="D74" s="177" t="s">
        <v>15</v>
      </c>
      <c r="E74" s="177"/>
      <c r="F74" s="177"/>
      <c r="G74" s="181">
        <v>40</v>
      </c>
      <c r="H74" s="181"/>
      <c r="I74" s="181"/>
      <c r="J74" s="181">
        <f t="shared" si="3"/>
        <v>40</v>
      </c>
    </row>
    <row r="75" spans="1:11" ht="16" x14ac:dyDescent="0.8">
      <c r="A75" s="177" t="s">
        <v>801</v>
      </c>
      <c r="B75" s="177" t="s">
        <v>698</v>
      </c>
      <c r="C75" s="177" t="s">
        <v>20</v>
      </c>
      <c r="D75" s="177" t="s">
        <v>8</v>
      </c>
      <c r="E75" s="177" t="s">
        <v>21</v>
      </c>
      <c r="F75" s="177" t="s">
        <v>384</v>
      </c>
      <c r="G75" s="181">
        <v>125</v>
      </c>
      <c r="H75" s="181">
        <v>90</v>
      </c>
      <c r="I75" s="181">
        <v>40</v>
      </c>
      <c r="J75" s="181">
        <f t="shared" si="3"/>
        <v>255</v>
      </c>
    </row>
    <row r="76" spans="1:11" ht="16" x14ac:dyDescent="0.8">
      <c r="A76" s="177" t="s">
        <v>801</v>
      </c>
      <c r="B76" s="177" t="s">
        <v>772</v>
      </c>
      <c r="C76" s="177" t="s">
        <v>24</v>
      </c>
      <c r="D76" s="177" t="s">
        <v>8</v>
      </c>
      <c r="E76" s="177"/>
      <c r="F76" s="177"/>
      <c r="G76" s="181">
        <v>125</v>
      </c>
      <c r="H76" s="181"/>
      <c r="I76" s="181"/>
      <c r="J76" s="181">
        <f t="shared" si="3"/>
        <v>125</v>
      </c>
    </row>
    <row r="77" spans="1:11" ht="16" x14ac:dyDescent="0.8">
      <c r="A77" s="177" t="s">
        <v>801</v>
      </c>
      <c r="B77" s="177" t="s">
        <v>773</v>
      </c>
      <c r="C77" s="177" t="s">
        <v>24</v>
      </c>
      <c r="D77" s="177" t="s">
        <v>8</v>
      </c>
      <c r="E77" s="177"/>
      <c r="F77" s="177"/>
      <c r="G77" s="181">
        <v>125</v>
      </c>
      <c r="H77" s="181"/>
      <c r="I77" s="181"/>
      <c r="J77" s="181">
        <f t="shared" si="3"/>
        <v>125</v>
      </c>
    </row>
    <row r="78" spans="1:11" ht="16" x14ac:dyDescent="0.8">
      <c r="A78" s="177" t="s">
        <v>801</v>
      </c>
      <c r="B78" s="177" t="s">
        <v>754</v>
      </c>
      <c r="C78" s="177" t="s">
        <v>20</v>
      </c>
      <c r="D78" s="177" t="s">
        <v>8</v>
      </c>
      <c r="E78" s="177"/>
      <c r="F78" s="177"/>
      <c r="G78" s="181">
        <v>125</v>
      </c>
      <c r="H78" s="182"/>
      <c r="I78" s="182"/>
      <c r="J78" s="181">
        <f t="shared" si="3"/>
        <v>125</v>
      </c>
    </row>
    <row r="79" spans="1:11" ht="16" x14ac:dyDescent="0.8">
      <c r="A79" s="177" t="s">
        <v>801</v>
      </c>
      <c r="B79" s="177" t="s">
        <v>780</v>
      </c>
      <c r="C79" s="177" t="s">
        <v>24</v>
      </c>
      <c r="D79" s="177" t="s">
        <v>15</v>
      </c>
      <c r="E79" s="177"/>
      <c r="F79" s="177"/>
      <c r="G79" s="181">
        <v>40</v>
      </c>
      <c r="H79" s="182"/>
      <c r="I79" s="182"/>
      <c r="J79" s="181">
        <f t="shared" si="3"/>
        <v>40</v>
      </c>
    </row>
    <row r="80" spans="1:11" ht="16" x14ac:dyDescent="0.8">
      <c r="A80" s="177" t="s">
        <v>801</v>
      </c>
      <c r="B80" s="177" t="s">
        <v>690</v>
      </c>
      <c r="C80" s="177" t="s">
        <v>7</v>
      </c>
      <c r="D80" s="177" t="s">
        <v>8</v>
      </c>
      <c r="E80" s="177" t="s">
        <v>384</v>
      </c>
      <c r="F80" s="177"/>
      <c r="G80" s="181">
        <v>125</v>
      </c>
      <c r="H80" s="181">
        <v>40</v>
      </c>
      <c r="I80" s="181"/>
      <c r="J80" s="181">
        <f t="shared" si="3"/>
        <v>165</v>
      </c>
    </row>
    <row r="81" spans="1:11" ht="16" x14ac:dyDescent="0.8">
      <c r="A81" s="177" t="s">
        <v>801</v>
      </c>
      <c r="B81" s="177" t="s">
        <v>761</v>
      </c>
      <c r="C81" s="177" t="s">
        <v>7</v>
      </c>
      <c r="D81" s="207" t="s">
        <v>37</v>
      </c>
      <c r="E81" s="177"/>
      <c r="F81" s="177"/>
      <c r="G81" s="181">
        <v>65</v>
      </c>
      <c r="H81" s="181"/>
      <c r="I81" s="181"/>
      <c r="J81" s="181">
        <f t="shared" si="3"/>
        <v>65</v>
      </c>
    </row>
    <row r="82" spans="1:11" ht="16" x14ac:dyDescent="0.8">
      <c r="A82" s="177" t="s">
        <v>801</v>
      </c>
      <c r="B82" s="177" t="s">
        <v>691</v>
      </c>
      <c r="C82" s="177" t="s">
        <v>7</v>
      </c>
      <c r="D82" s="177" t="s">
        <v>15</v>
      </c>
      <c r="E82" s="177"/>
      <c r="F82" s="177"/>
      <c r="G82" s="181">
        <v>40</v>
      </c>
      <c r="H82" s="181"/>
      <c r="I82" s="181"/>
      <c r="J82" s="181">
        <f t="shared" si="3"/>
        <v>40</v>
      </c>
    </row>
    <row r="83" spans="1:11" ht="16" x14ac:dyDescent="0.8">
      <c r="A83" s="177" t="s">
        <v>801</v>
      </c>
      <c r="B83" s="177" t="s">
        <v>781</v>
      </c>
      <c r="C83" s="177" t="s">
        <v>7</v>
      </c>
      <c r="D83" s="177" t="s">
        <v>17</v>
      </c>
      <c r="E83" s="177" t="s">
        <v>384</v>
      </c>
      <c r="F83" s="177"/>
      <c r="G83" s="181">
        <v>105</v>
      </c>
      <c r="H83" s="181">
        <v>40</v>
      </c>
      <c r="I83" s="181"/>
      <c r="J83" s="181">
        <f t="shared" si="3"/>
        <v>145</v>
      </c>
    </row>
    <row r="84" spans="1:11" ht="14.5" customHeight="1" x14ac:dyDescent="0.8">
      <c r="A84" s="177" t="s">
        <v>801</v>
      </c>
      <c r="B84" s="177" t="s">
        <v>693</v>
      </c>
      <c r="C84" s="177" t="s">
        <v>7</v>
      </c>
      <c r="D84" s="177" t="s">
        <v>15</v>
      </c>
      <c r="E84" s="177"/>
      <c r="F84" s="177"/>
      <c r="G84" s="181">
        <v>40</v>
      </c>
      <c r="H84" s="181"/>
      <c r="I84" s="181"/>
      <c r="J84" s="181">
        <f t="shared" si="3"/>
        <v>40</v>
      </c>
      <c r="K84" s="179"/>
    </row>
    <row r="85" spans="1:11" ht="15" customHeight="1" x14ac:dyDescent="0.8">
      <c r="A85" s="177" t="s">
        <v>801</v>
      </c>
      <c r="B85" s="177" t="s">
        <v>756</v>
      </c>
      <c r="C85" s="177" t="s">
        <v>7</v>
      </c>
      <c r="D85" s="177" t="s">
        <v>8</v>
      </c>
      <c r="E85" s="177" t="s">
        <v>384</v>
      </c>
      <c r="F85" s="177" t="s">
        <v>802</v>
      </c>
      <c r="G85" s="181">
        <v>125</v>
      </c>
      <c r="H85" s="181">
        <v>40</v>
      </c>
      <c r="I85" s="181">
        <v>30</v>
      </c>
      <c r="J85" s="181">
        <f t="shared" si="3"/>
        <v>195</v>
      </c>
    </row>
    <row r="86" spans="1:11" ht="15" customHeight="1" x14ac:dyDescent="0.8">
      <c r="A86" s="177" t="s">
        <v>801</v>
      </c>
      <c r="B86" s="177" t="s">
        <v>687</v>
      </c>
      <c r="C86" s="177" t="s">
        <v>7</v>
      </c>
      <c r="D86" s="177" t="s">
        <v>8</v>
      </c>
      <c r="E86" s="177"/>
      <c r="F86" s="177"/>
      <c r="G86" s="181">
        <v>125</v>
      </c>
      <c r="H86" s="181"/>
      <c r="I86" s="181"/>
      <c r="J86" s="181">
        <f t="shared" si="3"/>
        <v>125</v>
      </c>
      <c r="K86" s="179"/>
    </row>
    <row r="87" spans="1:11" ht="15" customHeight="1" x14ac:dyDescent="0.8">
      <c r="A87" s="177" t="s">
        <v>801</v>
      </c>
      <c r="B87" s="177" t="s">
        <v>692</v>
      </c>
      <c r="C87" s="177" t="s">
        <v>7</v>
      </c>
      <c r="D87" s="177" t="s">
        <v>8</v>
      </c>
      <c r="E87" s="177" t="s">
        <v>384</v>
      </c>
      <c r="F87" s="177"/>
      <c r="G87" s="181">
        <v>125</v>
      </c>
      <c r="H87" s="181">
        <v>40</v>
      </c>
      <c r="I87" s="181"/>
      <c r="J87" s="187">
        <f>SUM(G87:I87)</f>
        <v>165</v>
      </c>
    </row>
    <row r="88" spans="1:11" ht="15" customHeight="1" x14ac:dyDescent="0.8">
      <c r="A88" s="177" t="s">
        <v>803</v>
      </c>
      <c r="B88" s="177" t="s">
        <v>795</v>
      </c>
      <c r="C88" s="177" t="s">
        <v>24</v>
      </c>
      <c r="D88" s="177" t="s">
        <v>8</v>
      </c>
      <c r="E88" s="177"/>
      <c r="F88" s="177"/>
      <c r="G88" s="181">
        <v>125</v>
      </c>
      <c r="H88" s="181"/>
      <c r="I88" s="181"/>
      <c r="J88" s="181">
        <f>SUM(G88:I88)</f>
        <v>125</v>
      </c>
    </row>
    <row r="89" spans="1:11" ht="15" customHeight="1" x14ac:dyDescent="0.8">
      <c r="A89" s="177" t="s">
        <v>803</v>
      </c>
      <c r="B89" s="177" t="s">
        <v>789</v>
      </c>
      <c r="C89" s="177" t="s">
        <v>24</v>
      </c>
      <c r="D89" s="177" t="s">
        <v>8</v>
      </c>
      <c r="E89" s="177" t="s">
        <v>384</v>
      </c>
      <c r="F89" s="177"/>
      <c r="G89" s="181">
        <v>125</v>
      </c>
      <c r="H89" s="181">
        <v>40</v>
      </c>
      <c r="I89" s="181"/>
      <c r="J89" s="181">
        <f t="shared" ref="J89:J108" si="4">SUM(G89:I89)</f>
        <v>165</v>
      </c>
      <c r="K89" s="179"/>
    </row>
    <row r="90" spans="1:11" ht="15" customHeight="1" x14ac:dyDescent="0.8">
      <c r="A90" s="177" t="s">
        <v>803</v>
      </c>
      <c r="B90" s="177" t="s">
        <v>797</v>
      </c>
      <c r="C90" s="177" t="s">
        <v>20</v>
      </c>
      <c r="D90" s="177" t="s">
        <v>33</v>
      </c>
      <c r="E90" s="177"/>
      <c r="F90" s="177"/>
      <c r="G90" s="181">
        <v>85</v>
      </c>
      <c r="H90" s="181"/>
      <c r="I90" s="181"/>
      <c r="J90" s="181">
        <f t="shared" si="4"/>
        <v>85</v>
      </c>
    </row>
    <row r="91" spans="1:11" ht="15" customHeight="1" x14ac:dyDescent="0.8">
      <c r="A91" s="177" t="s">
        <v>803</v>
      </c>
      <c r="B91" s="177" t="s">
        <v>703</v>
      </c>
      <c r="C91" s="177" t="s">
        <v>24</v>
      </c>
      <c r="D91" s="177" t="s">
        <v>17</v>
      </c>
      <c r="E91" s="177" t="s">
        <v>384</v>
      </c>
      <c r="F91" s="177"/>
      <c r="G91" s="181">
        <v>105</v>
      </c>
      <c r="H91" s="181">
        <v>40</v>
      </c>
      <c r="I91" s="181"/>
      <c r="J91" s="181">
        <f t="shared" si="4"/>
        <v>145</v>
      </c>
      <c r="K91" s="179"/>
    </row>
    <row r="92" spans="1:11" ht="15" customHeight="1" x14ac:dyDescent="0.8">
      <c r="A92" s="177" t="s">
        <v>803</v>
      </c>
      <c r="B92" s="177" t="s">
        <v>709</v>
      </c>
      <c r="C92" s="177" t="s">
        <v>20</v>
      </c>
      <c r="D92" s="177" t="s">
        <v>33</v>
      </c>
      <c r="E92" s="177"/>
      <c r="F92" s="177"/>
      <c r="G92" s="181">
        <v>85</v>
      </c>
      <c r="H92" s="181"/>
      <c r="I92" s="181"/>
      <c r="J92" s="181">
        <f t="shared" si="4"/>
        <v>85</v>
      </c>
    </row>
    <row r="93" spans="1:11" ht="15" customHeight="1" x14ac:dyDescent="0.8">
      <c r="A93" s="177" t="s">
        <v>803</v>
      </c>
      <c r="B93" s="177" t="s">
        <v>708</v>
      </c>
      <c r="C93" s="177" t="s">
        <v>20</v>
      </c>
      <c r="D93" s="177" t="s">
        <v>33</v>
      </c>
      <c r="E93" s="177"/>
      <c r="F93" s="177"/>
      <c r="G93" s="181">
        <v>85</v>
      </c>
      <c r="H93" s="181"/>
      <c r="I93" s="181"/>
      <c r="J93" s="181">
        <f t="shared" si="4"/>
        <v>85</v>
      </c>
    </row>
    <row r="94" spans="1:11" ht="15" customHeight="1" x14ac:dyDescent="0.8">
      <c r="A94" s="177" t="s">
        <v>803</v>
      </c>
      <c r="B94" s="177" t="s">
        <v>707</v>
      </c>
      <c r="C94" s="177" t="s">
        <v>20</v>
      </c>
      <c r="D94" s="177" t="s">
        <v>33</v>
      </c>
      <c r="E94" s="177"/>
      <c r="F94" s="177"/>
      <c r="G94" s="181">
        <v>85</v>
      </c>
      <c r="H94" s="181"/>
      <c r="I94" s="181"/>
      <c r="J94" s="181">
        <f t="shared" si="4"/>
        <v>85</v>
      </c>
    </row>
    <row r="95" spans="1:11" ht="16" x14ac:dyDescent="0.8">
      <c r="A95" s="177" t="s">
        <v>803</v>
      </c>
      <c r="B95" s="177" t="s">
        <v>706</v>
      </c>
      <c r="C95" s="177" t="s">
        <v>20</v>
      </c>
      <c r="D95" s="177" t="s">
        <v>33</v>
      </c>
      <c r="E95" s="177"/>
      <c r="F95" s="177"/>
      <c r="G95" s="181">
        <v>85</v>
      </c>
      <c r="H95" s="181"/>
      <c r="I95" s="181"/>
      <c r="J95" s="181">
        <f t="shared" si="4"/>
        <v>85</v>
      </c>
    </row>
    <row r="96" spans="1:11" ht="16" x14ac:dyDescent="0.8">
      <c r="A96" s="177" t="s">
        <v>803</v>
      </c>
      <c r="B96" s="177" t="s">
        <v>794</v>
      </c>
      <c r="C96" s="177" t="s">
        <v>24</v>
      </c>
      <c r="D96" s="177" t="s">
        <v>33</v>
      </c>
      <c r="E96" s="177" t="s">
        <v>384</v>
      </c>
      <c r="F96" s="177"/>
      <c r="G96" s="181">
        <v>85</v>
      </c>
      <c r="H96" s="181">
        <v>40</v>
      </c>
      <c r="I96" s="181"/>
      <c r="J96" s="181">
        <f t="shared" si="4"/>
        <v>125</v>
      </c>
    </row>
    <row r="97" spans="1:11" ht="16" x14ac:dyDescent="0.8">
      <c r="A97" s="177" t="s">
        <v>803</v>
      </c>
      <c r="B97" s="177" t="s">
        <v>713</v>
      </c>
      <c r="C97" s="177" t="s">
        <v>24</v>
      </c>
      <c r="D97" s="177" t="s">
        <v>8</v>
      </c>
      <c r="E97" s="177" t="s">
        <v>384</v>
      </c>
      <c r="F97" s="177"/>
      <c r="G97" s="181">
        <v>125</v>
      </c>
      <c r="H97" s="181">
        <v>40</v>
      </c>
      <c r="I97" s="181"/>
      <c r="J97" s="181">
        <f t="shared" si="4"/>
        <v>165</v>
      </c>
    </row>
    <row r="98" spans="1:11" ht="16" x14ac:dyDescent="0.8">
      <c r="A98" s="177" t="s">
        <v>803</v>
      </c>
      <c r="B98" s="177" t="s">
        <v>766</v>
      </c>
      <c r="C98" s="177" t="s">
        <v>20</v>
      </c>
      <c r="D98" s="177" t="s">
        <v>15</v>
      </c>
      <c r="E98" s="177"/>
      <c r="F98" s="177"/>
      <c r="G98" s="181">
        <v>40</v>
      </c>
      <c r="H98" s="181"/>
      <c r="I98" s="181"/>
      <c r="J98" s="181">
        <f t="shared" si="4"/>
        <v>40</v>
      </c>
    </row>
    <row r="99" spans="1:11" ht="16" x14ac:dyDescent="0.8">
      <c r="A99" s="177" t="s">
        <v>803</v>
      </c>
      <c r="B99" s="177" t="s">
        <v>787</v>
      </c>
      <c r="C99" s="177" t="s">
        <v>20</v>
      </c>
      <c r="D99" s="177" t="s">
        <v>8</v>
      </c>
      <c r="E99" s="177"/>
      <c r="F99" s="177"/>
      <c r="G99" s="181">
        <v>125</v>
      </c>
      <c r="H99" s="182"/>
      <c r="I99" s="182"/>
      <c r="J99" s="181">
        <f t="shared" si="4"/>
        <v>125</v>
      </c>
    </row>
    <row r="100" spans="1:11" ht="16" x14ac:dyDescent="0.8">
      <c r="A100" s="177" t="s">
        <v>803</v>
      </c>
      <c r="B100" s="177" t="s">
        <v>786</v>
      </c>
      <c r="C100" s="177" t="s">
        <v>24</v>
      </c>
      <c r="D100" s="177" t="s">
        <v>8</v>
      </c>
      <c r="E100" s="177"/>
      <c r="F100" s="177"/>
      <c r="G100" s="181">
        <v>125</v>
      </c>
      <c r="H100" s="182"/>
      <c r="I100" s="182"/>
      <c r="J100" s="181">
        <f t="shared" si="4"/>
        <v>125</v>
      </c>
    </row>
    <row r="101" spans="1:11" ht="16" x14ac:dyDescent="0.8">
      <c r="A101" s="177" t="s">
        <v>803</v>
      </c>
      <c r="B101" s="177" t="s">
        <v>796</v>
      </c>
      <c r="C101" s="177" t="s">
        <v>24</v>
      </c>
      <c r="D101" s="177" t="s">
        <v>8</v>
      </c>
      <c r="E101" s="177"/>
      <c r="F101" s="177"/>
      <c r="G101" s="181">
        <v>125</v>
      </c>
      <c r="H101" s="181"/>
      <c r="I101" s="181"/>
      <c r="J101" s="181">
        <f t="shared" si="4"/>
        <v>125</v>
      </c>
    </row>
    <row r="102" spans="1:11" ht="16" x14ac:dyDescent="0.8">
      <c r="A102" s="177" t="s">
        <v>803</v>
      </c>
      <c r="B102" s="177" t="s">
        <v>785</v>
      </c>
      <c r="C102" s="177" t="s">
        <v>20</v>
      </c>
      <c r="D102" s="177" t="s">
        <v>8</v>
      </c>
      <c r="E102" s="177" t="s">
        <v>384</v>
      </c>
      <c r="F102" s="177"/>
      <c r="G102" s="181">
        <v>125</v>
      </c>
      <c r="H102" s="181">
        <v>40</v>
      </c>
      <c r="I102" s="181"/>
      <c r="J102" s="181">
        <f t="shared" si="4"/>
        <v>165</v>
      </c>
    </row>
    <row r="103" spans="1:11" ht="16" x14ac:dyDescent="0.8">
      <c r="A103" s="177" t="s">
        <v>803</v>
      </c>
      <c r="B103" s="177" t="s">
        <v>686</v>
      </c>
      <c r="C103" s="177" t="s">
        <v>7</v>
      </c>
      <c r="D103" s="177" t="s">
        <v>8</v>
      </c>
      <c r="E103" s="177" t="s">
        <v>384</v>
      </c>
      <c r="F103" s="177"/>
      <c r="G103" s="181">
        <v>125</v>
      </c>
      <c r="H103" s="181">
        <v>40</v>
      </c>
      <c r="I103" s="181"/>
      <c r="J103" s="181">
        <f t="shared" si="4"/>
        <v>165</v>
      </c>
    </row>
    <row r="104" spans="1:11" ht="16" x14ac:dyDescent="0.8">
      <c r="A104" s="177" t="s">
        <v>803</v>
      </c>
      <c r="B104" s="177" t="s">
        <v>788</v>
      </c>
      <c r="C104" s="177" t="s">
        <v>7</v>
      </c>
      <c r="D104" s="177" t="s">
        <v>15</v>
      </c>
      <c r="E104" s="177"/>
      <c r="F104" s="177"/>
      <c r="G104" s="181">
        <v>40</v>
      </c>
      <c r="H104" s="181"/>
      <c r="I104" s="181"/>
      <c r="J104" s="181">
        <f t="shared" si="4"/>
        <v>40</v>
      </c>
    </row>
    <row r="105" spans="1:11" ht="16" x14ac:dyDescent="0.8">
      <c r="A105" s="177" t="s">
        <v>803</v>
      </c>
      <c r="B105" s="177" t="s">
        <v>694</v>
      </c>
      <c r="C105" s="177" t="s">
        <v>7</v>
      </c>
      <c r="D105" s="177" t="s">
        <v>8</v>
      </c>
      <c r="E105" s="177" t="s">
        <v>384</v>
      </c>
      <c r="F105" s="188" t="s">
        <v>21</v>
      </c>
      <c r="G105" s="181">
        <v>125</v>
      </c>
      <c r="H105" s="181">
        <v>40</v>
      </c>
      <c r="I105" s="181">
        <v>90</v>
      </c>
      <c r="J105" s="181">
        <f t="shared" si="4"/>
        <v>255</v>
      </c>
    </row>
    <row r="106" spans="1:11" ht="15" customHeight="1" x14ac:dyDescent="0.8">
      <c r="A106" s="177" t="s">
        <v>803</v>
      </c>
      <c r="B106" s="177" t="s">
        <v>689</v>
      </c>
      <c r="C106" s="177" t="s">
        <v>7</v>
      </c>
      <c r="D106" s="177" t="s">
        <v>15</v>
      </c>
      <c r="E106" s="177"/>
      <c r="F106" s="177"/>
      <c r="G106" s="181">
        <v>40</v>
      </c>
      <c r="H106" s="181"/>
      <c r="I106" s="181"/>
      <c r="J106" s="181">
        <f t="shared" si="4"/>
        <v>40</v>
      </c>
      <c r="K106" s="179"/>
    </row>
    <row r="107" spans="1:11" ht="15" customHeight="1" x14ac:dyDescent="0.8">
      <c r="A107" s="177" t="s">
        <v>803</v>
      </c>
      <c r="B107" s="177" t="s">
        <v>790</v>
      </c>
      <c r="C107" s="177" t="s">
        <v>7</v>
      </c>
      <c r="D107" s="177" t="s">
        <v>15</v>
      </c>
      <c r="E107" s="177"/>
      <c r="F107" s="177"/>
      <c r="G107" s="181">
        <v>40</v>
      </c>
      <c r="H107" s="181"/>
      <c r="I107" s="181"/>
      <c r="J107" s="181">
        <f t="shared" si="4"/>
        <v>40</v>
      </c>
    </row>
    <row r="108" spans="1:11" ht="15" customHeight="1" x14ac:dyDescent="0.8">
      <c r="A108" s="177" t="s">
        <v>803</v>
      </c>
      <c r="B108" s="177" t="s">
        <v>696</v>
      </c>
      <c r="C108" s="177" t="s">
        <v>7</v>
      </c>
      <c r="D108" s="177" t="s">
        <v>8</v>
      </c>
      <c r="E108" s="177" t="s">
        <v>384</v>
      </c>
      <c r="F108" s="188" t="s">
        <v>21</v>
      </c>
      <c r="G108" s="181">
        <v>125</v>
      </c>
      <c r="H108" s="181">
        <v>40</v>
      </c>
      <c r="I108" s="181">
        <v>90</v>
      </c>
      <c r="J108" s="181">
        <f t="shared" si="4"/>
        <v>255</v>
      </c>
      <c r="K108" s="179"/>
    </row>
    <row r="109" spans="1:11" ht="15" customHeight="1" x14ac:dyDescent="0.8">
      <c r="A109" s="177" t="s">
        <v>803</v>
      </c>
      <c r="B109" s="177" t="s">
        <v>695</v>
      </c>
      <c r="C109" s="177" t="s">
        <v>365</v>
      </c>
      <c r="D109" s="177" t="s">
        <v>8</v>
      </c>
      <c r="E109" s="177" t="s">
        <v>384</v>
      </c>
      <c r="F109" s="188" t="s">
        <v>21</v>
      </c>
      <c r="G109" s="181">
        <v>125</v>
      </c>
      <c r="H109" s="181">
        <v>40</v>
      </c>
      <c r="I109" s="181">
        <v>45</v>
      </c>
      <c r="J109" s="187">
        <f>SUM(G109:I109)</f>
        <v>210</v>
      </c>
    </row>
    <row r="110" spans="1:11" ht="15" customHeight="1" x14ac:dyDescent="0.8">
      <c r="A110" s="177" t="s">
        <v>803</v>
      </c>
      <c r="B110" s="177" t="s">
        <v>691</v>
      </c>
      <c r="C110" s="177" t="s">
        <v>7</v>
      </c>
      <c r="D110" s="177" t="s">
        <v>17</v>
      </c>
      <c r="E110" s="177" t="s">
        <v>384</v>
      </c>
      <c r="F110" s="177"/>
      <c r="G110" s="181">
        <v>105</v>
      </c>
      <c r="H110" s="181">
        <v>40</v>
      </c>
      <c r="I110" s="181"/>
      <c r="J110" s="181">
        <f>SUM(G110:I110)</f>
        <v>145</v>
      </c>
    </row>
    <row r="111" spans="1:11" ht="15" customHeight="1" x14ac:dyDescent="0.8">
      <c r="A111" s="177" t="s">
        <v>804</v>
      </c>
      <c r="B111" s="177" t="s">
        <v>758</v>
      </c>
      <c r="C111" s="177" t="s">
        <v>20</v>
      </c>
      <c r="D111" s="177" t="s">
        <v>8</v>
      </c>
      <c r="E111" s="177" t="s">
        <v>384</v>
      </c>
      <c r="F111" s="177"/>
      <c r="G111" s="181">
        <v>125</v>
      </c>
      <c r="H111" s="181">
        <v>40</v>
      </c>
      <c r="I111" s="181"/>
      <c r="J111" s="181">
        <f>SUM(G111:I111)</f>
        <v>165</v>
      </c>
      <c r="K111" s="179"/>
    </row>
    <row r="112" spans="1:11" ht="15" customHeight="1" x14ac:dyDescent="0.8">
      <c r="A112" s="177" t="s">
        <v>804</v>
      </c>
      <c r="B112" s="177" t="s">
        <v>784</v>
      </c>
      <c r="C112" s="177" t="s">
        <v>24</v>
      </c>
      <c r="D112" s="177" t="s">
        <v>8</v>
      </c>
      <c r="E112" s="177" t="s">
        <v>384</v>
      </c>
      <c r="F112" s="177"/>
      <c r="G112" s="181">
        <v>125</v>
      </c>
      <c r="H112" s="181">
        <v>40</v>
      </c>
      <c r="I112" s="181"/>
      <c r="J112" s="181">
        <f t="shared" ref="J112:J120" si="5">SUM(G112:I112)</f>
        <v>165</v>
      </c>
    </row>
    <row r="113" spans="1:11" ht="15" customHeight="1" x14ac:dyDescent="0.8">
      <c r="A113" s="177" t="s">
        <v>804</v>
      </c>
      <c r="B113" s="177" t="s">
        <v>767</v>
      </c>
      <c r="C113" s="177" t="s">
        <v>20</v>
      </c>
      <c r="D113" s="177" t="s">
        <v>8</v>
      </c>
      <c r="E113" s="177" t="s">
        <v>34</v>
      </c>
      <c r="F113" s="177"/>
      <c r="G113" s="181">
        <v>125</v>
      </c>
      <c r="H113" s="181">
        <v>55</v>
      </c>
      <c r="I113" s="181"/>
      <c r="J113" s="181">
        <f t="shared" si="5"/>
        <v>180</v>
      </c>
      <c r="K113" s="179"/>
    </row>
    <row r="114" spans="1:11" ht="15" customHeight="1" x14ac:dyDescent="0.8">
      <c r="A114" s="177" t="s">
        <v>804</v>
      </c>
      <c r="B114" s="177" t="s">
        <v>652</v>
      </c>
      <c r="C114" s="177" t="s">
        <v>24</v>
      </c>
      <c r="D114" s="177" t="s">
        <v>15</v>
      </c>
      <c r="E114" s="177"/>
      <c r="F114" s="177"/>
      <c r="G114" s="181">
        <v>40</v>
      </c>
      <c r="H114" s="181"/>
      <c r="I114" s="181"/>
      <c r="J114" s="181">
        <f t="shared" si="5"/>
        <v>40</v>
      </c>
    </row>
    <row r="115" spans="1:11" ht="15" customHeight="1" x14ac:dyDescent="0.8">
      <c r="A115" s="177" t="s">
        <v>804</v>
      </c>
      <c r="B115" s="177" t="s">
        <v>722</v>
      </c>
      <c r="C115" s="177" t="s">
        <v>24</v>
      </c>
      <c r="D115" s="177" t="s">
        <v>8</v>
      </c>
      <c r="E115" s="177" t="s">
        <v>384</v>
      </c>
      <c r="F115" s="177"/>
      <c r="G115" s="181">
        <v>125</v>
      </c>
      <c r="H115" s="181">
        <v>40</v>
      </c>
      <c r="I115" s="181"/>
      <c r="J115" s="181">
        <f t="shared" si="5"/>
        <v>165</v>
      </c>
    </row>
    <row r="116" spans="1:11" ht="15" customHeight="1" x14ac:dyDescent="0.8">
      <c r="A116" s="177" t="s">
        <v>804</v>
      </c>
      <c r="B116" s="177" t="s">
        <v>765</v>
      </c>
      <c r="C116" s="177" t="s">
        <v>20</v>
      </c>
      <c r="D116" s="177" t="s">
        <v>33</v>
      </c>
      <c r="E116" s="177" t="s">
        <v>384</v>
      </c>
      <c r="F116" s="177"/>
      <c r="G116" s="181">
        <v>85</v>
      </c>
      <c r="H116" s="181">
        <v>40</v>
      </c>
      <c r="I116" s="181"/>
      <c r="J116" s="181">
        <f t="shared" si="5"/>
        <v>125</v>
      </c>
    </row>
    <row r="117" spans="1:11" ht="15" customHeight="1" x14ac:dyDescent="0.8">
      <c r="A117" s="177" t="s">
        <v>804</v>
      </c>
      <c r="B117" s="177" t="s">
        <v>792</v>
      </c>
      <c r="C117" s="177" t="s">
        <v>20</v>
      </c>
      <c r="D117" s="177" t="s">
        <v>8</v>
      </c>
      <c r="E117" s="177" t="s">
        <v>384</v>
      </c>
      <c r="F117" s="177"/>
      <c r="G117" s="181">
        <v>125</v>
      </c>
      <c r="H117" s="181">
        <v>40</v>
      </c>
      <c r="I117" s="181"/>
      <c r="J117" s="181">
        <f t="shared" si="5"/>
        <v>165</v>
      </c>
    </row>
    <row r="118" spans="1:11" ht="15" customHeight="1" x14ac:dyDescent="0.8">
      <c r="A118" s="177" t="s">
        <v>804</v>
      </c>
      <c r="B118" s="177" t="s">
        <v>774</v>
      </c>
      <c r="C118" s="177" t="s">
        <v>24</v>
      </c>
      <c r="D118" s="177" t="s">
        <v>15</v>
      </c>
      <c r="E118" s="177"/>
      <c r="F118" s="177"/>
      <c r="G118" s="181">
        <v>40</v>
      </c>
      <c r="H118" s="181"/>
      <c r="I118" s="181"/>
      <c r="J118" s="181">
        <f t="shared" si="5"/>
        <v>40</v>
      </c>
    </row>
    <row r="119" spans="1:11" ht="15" customHeight="1" x14ac:dyDescent="0.8">
      <c r="A119" s="177" t="s">
        <v>804</v>
      </c>
      <c r="B119" s="177" t="s">
        <v>791</v>
      </c>
      <c r="C119" s="177" t="s">
        <v>20</v>
      </c>
      <c r="D119" s="177" t="s">
        <v>8</v>
      </c>
      <c r="E119" s="177" t="s">
        <v>384</v>
      </c>
      <c r="F119" s="177"/>
      <c r="G119" s="181">
        <v>125</v>
      </c>
      <c r="H119" s="181">
        <v>40</v>
      </c>
      <c r="I119" s="181"/>
      <c r="J119" s="181">
        <f t="shared" si="5"/>
        <v>165</v>
      </c>
    </row>
    <row r="120" spans="1:11" ht="15" customHeight="1" x14ac:dyDescent="0.8">
      <c r="A120" s="177" t="s">
        <v>804</v>
      </c>
      <c r="B120" s="177" t="s">
        <v>743</v>
      </c>
      <c r="C120" s="177" t="s">
        <v>24</v>
      </c>
      <c r="D120" s="177" t="s">
        <v>8</v>
      </c>
      <c r="E120" s="177"/>
      <c r="F120" s="177"/>
      <c r="G120" s="181">
        <v>125</v>
      </c>
      <c r="H120" s="181"/>
      <c r="I120" s="181"/>
      <c r="J120" s="181">
        <f t="shared" si="5"/>
        <v>125</v>
      </c>
    </row>
    <row r="121" spans="1:11" ht="15" customHeight="1" x14ac:dyDescent="0.8">
      <c r="J121" s="189">
        <f>SUM(J2:J120)</f>
        <v>15470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DA85-F038-4306-AAA5-63344AEF1F6C}">
  <sheetPr>
    <tabColor rgb="FF00B050"/>
  </sheetPr>
  <dimension ref="A1:K104"/>
  <sheetViews>
    <sheetView topLeftCell="E89" workbookViewId="0">
      <selection activeCell="D17" sqref="D17"/>
    </sheetView>
  </sheetViews>
  <sheetFormatPr defaultRowHeight="15" customHeight="1" x14ac:dyDescent="0.8"/>
  <cols>
    <col min="1" max="1" width="24.5" style="177" customWidth="1"/>
    <col min="2" max="2" width="17.9140625" style="177" customWidth="1"/>
    <col min="3" max="3" width="22.75" style="177" customWidth="1"/>
    <col min="4" max="4" width="59.1640625" style="177" customWidth="1"/>
    <col min="5" max="5" width="49.9140625" style="177" customWidth="1"/>
    <col min="6" max="6" width="62.1640625" style="177" customWidth="1"/>
    <col min="7" max="7" width="16.25" style="177" customWidth="1"/>
    <col min="8" max="8" width="13.1640625" style="177" customWidth="1"/>
    <col min="9" max="10" width="14.4140625" style="177" customWidth="1"/>
    <col min="11" max="16384" width="8.6640625" style="177"/>
  </cols>
  <sheetData>
    <row r="1" spans="1:11" ht="15" customHeight="1" x14ac:dyDescent="0.8">
      <c r="A1" s="214" t="s">
        <v>0</v>
      </c>
      <c r="B1" s="214" t="s">
        <v>1</v>
      </c>
      <c r="C1" s="214" t="s">
        <v>2</v>
      </c>
      <c r="D1" s="214" t="s">
        <v>3</v>
      </c>
      <c r="E1" s="214" t="s">
        <v>4</v>
      </c>
      <c r="F1" s="214" t="s">
        <v>4</v>
      </c>
      <c r="G1" s="215" t="s">
        <v>100</v>
      </c>
      <c r="H1" s="215" t="s">
        <v>98</v>
      </c>
      <c r="I1" s="215" t="s">
        <v>99</v>
      </c>
      <c r="J1" s="216" t="s">
        <v>97</v>
      </c>
    </row>
    <row r="2" spans="1:11" s="169" customFormat="1" ht="15" customHeight="1" x14ac:dyDescent="0.8">
      <c r="A2" s="169" t="s">
        <v>915</v>
      </c>
      <c r="B2" s="169" t="s">
        <v>889</v>
      </c>
      <c r="C2" s="169" t="s">
        <v>20</v>
      </c>
      <c r="D2" s="169" t="s">
        <v>8</v>
      </c>
      <c r="E2" s="177" t="s">
        <v>384</v>
      </c>
      <c r="F2" s="177"/>
      <c r="G2" s="181">
        <v>125</v>
      </c>
      <c r="H2" s="181">
        <v>40</v>
      </c>
      <c r="I2" s="178"/>
      <c r="J2" s="178">
        <f>SUM(G2:I2)</f>
        <v>165</v>
      </c>
      <c r="K2" s="217"/>
    </row>
    <row r="3" spans="1:11" s="169" customFormat="1" ht="15" customHeight="1" x14ac:dyDescent="0.8">
      <c r="A3" s="169" t="s">
        <v>915</v>
      </c>
      <c r="B3" s="169" t="s">
        <v>844</v>
      </c>
      <c r="C3" s="169" t="s">
        <v>20</v>
      </c>
      <c r="D3" s="169" t="s">
        <v>31</v>
      </c>
      <c r="E3" s="177" t="s">
        <v>384</v>
      </c>
      <c r="F3" s="177"/>
      <c r="G3" s="181">
        <v>125</v>
      </c>
      <c r="H3" s="181">
        <v>40</v>
      </c>
      <c r="I3" s="178"/>
      <c r="J3" s="178">
        <f t="shared" ref="J3:J16" si="0">SUM(G3:I3)</f>
        <v>165</v>
      </c>
    </row>
    <row r="4" spans="1:11" s="169" customFormat="1" ht="15" customHeight="1" x14ac:dyDescent="0.8">
      <c r="A4" s="169" t="s">
        <v>915</v>
      </c>
      <c r="B4" s="169" t="s">
        <v>893</v>
      </c>
      <c r="C4" s="169" t="s">
        <v>24</v>
      </c>
      <c r="D4" s="169" t="s">
        <v>8</v>
      </c>
      <c r="E4" s="177" t="s">
        <v>384</v>
      </c>
      <c r="F4" s="177"/>
      <c r="G4" s="181">
        <v>125</v>
      </c>
      <c r="H4" s="181">
        <v>40</v>
      </c>
      <c r="I4" s="178"/>
      <c r="J4" s="178">
        <f t="shared" si="0"/>
        <v>165</v>
      </c>
      <c r="K4" s="217"/>
    </row>
    <row r="5" spans="1:11" s="169" customFormat="1" ht="15" customHeight="1" x14ac:dyDescent="0.8">
      <c r="A5" s="169" t="s">
        <v>915</v>
      </c>
      <c r="B5" s="169" t="s">
        <v>774</v>
      </c>
      <c r="C5" s="169" t="s">
        <v>24</v>
      </c>
      <c r="D5" s="169" t="s">
        <v>31</v>
      </c>
      <c r="E5" s="177"/>
      <c r="F5" s="177"/>
      <c r="G5" s="181">
        <v>125</v>
      </c>
      <c r="H5" s="181"/>
      <c r="I5" s="178"/>
      <c r="J5" s="178">
        <f t="shared" si="0"/>
        <v>125</v>
      </c>
    </row>
    <row r="6" spans="1:11" s="169" customFormat="1" ht="15" customHeight="1" x14ac:dyDescent="0.8">
      <c r="A6" s="169" t="s">
        <v>915</v>
      </c>
      <c r="B6" s="169" t="s">
        <v>856</v>
      </c>
      <c r="C6" s="169" t="s">
        <v>20</v>
      </c>
      <c r="D6" s="169" t="s">
        <v>17</v>
      </c>
      <c r="E6" s="177" t="s">
        <v>384</v>
      </c>
      <c r="F6" s="177"/>
      <c r="G6" s="181">
        <v>105</v>
      </c>
      <c r="H6" s="181">
        <v>40</v>
      </c>
      <c r="I6" s="178"/>
      <c r="J6" s="178">
        <f t="shared" si="0"/>
        <v>145</v>
      </c>
    </row>
    <row r="7" spans="1:11" s="169" customFormat="1" ht="15" customHeight="1" x14ac:dyDescent="0.8">
      <c r="A7" s="169" t="s">
        <v>915</v>
      </c>
      <c r="B7" s="169" t="s">
        <v>849</v>
      </c>
      <c r="C7" s="169" t="s">
        <v>24</v>
      </c>
      <c r="D7" s="169" t="s">
        <v>15</v>
      </c>
      <c r="E7" s="177"/>
      <c r="F7" s="177"/>
      <c r="G7" s="181">
        <v>40</v>
      </c>
      <c r="H7" s="181"/>
      <c r="I7" s="178"/>
      <c r="J7" s="178">
        <f t="shared" si="0"/>
        <v>40</v>
      </c>
      <c r="K7" s="217"/>
    </row>
    <row r="8" spans="1:11" s="169" customFormat="1" ht="15" customHeight="1" x14ac:dyDescent="0.8">
      <c r="A8" s="169" t="s">
        <v>915</v>
      </c>
      <c r="B8" s="169" t="s">
        <v>863</v>
      </c>
      <c r="C8" s="169" t="s">
        <v>20</v>
      </c>
      <c r="D8" s="169" t="s">
        <v>17</v>
      </c>
      <c r="E8" s="177" t="s">
        <v>384</v>
      </c>
      <c r="F8" s="177"/>
      <c r="G8" s="181">
        <v>125</v>
      </c>
      <c r="H8" s="181">
        <v>40</v>
      </c>
      <c r="I8" s="178"/>
      <c r="J8" s="178">
        <f t="shared" si="0"/>
        <v>165</v>
      </c>
      <c r="K8" s="217"/>
    </row>
    <row r="9" spans="1:11" s="169" customFormat="1" ht="15" customHeight="1" x14ac:dyDescent="0.8">
      <c r="A9" s="169" t="s">
        <v>915</v>
      </c>
      <c r="B9" s="169" t="s">
        <v>879</v>
      </c>
      <c r="C9" s="169" t="s">
        <v>24</v>
      </c>
      <c r="D9" s="169" t="s">
        <v>33</v>
      </c>
      <c r="E9" s="213" t="s">
        <v>41</v>
      </c>
      <c r="F9" s="177"/>
      <c r="G9" s="181">
        <v>85</v>
      </c>
      <c r="H9" s="181">
        <v>85</v>
      </c>
      <c r="I9" s="178"/>
      <c r="J9" s="178">
        <f t="shared" si="0"/>
        <v>170</v>
      </c>
    </row>
    <row r="10" spans="1:11" s="169" customFormat="1" ht="15" customHeight="1" x14ac:dyDescent="0.8">
      <c r="A10" s="169" t="s">
        <v>915</v>
      </c>
      <c r="B10" s="169" t="s">
        <v>836</v>
      </c>
      <c r="C10" s="169" t="s">
        <v>20</v>
      </c>
      <c r="D10" s="169" t="s">
        <v>8</v>
      </c>
      <c r="E10" s="177" t="s">
        <v>916</v>
      </c>
      <c r="F10" s="177"/>
      <c r="G10" s="181">
        <v>125</v>
      </c>
      <c r="H10" s="181">
        <v>30</v>
      </c>
      <c r="I10" s="178"/>
      <c r="J10" s="178">
        <f t="shared" si="0"/>
        <v>155</v>
      </c>
      <c r="K10" s="217"/>
    </row>
    <row r="11" spans="1:11" s="169" customFormat="1" ht="15" customHeight="1" x14ac:dyDescent="0.8">
      <c r="A11" s="169" t="s">
        <v>915</v>
      </c>
      <c r="B11" s="169" t="s">
        <v>859</v>
      </c>
      <c r="C11" s="169" t="s">
        <v>24</v>
      </c>
      <c r="D11" s="169" t="s">
        <v>8</v>
      </c>
      <c r="E11" s="177" t="s">
        <v>384</v>
      </c>
      <c r="F11" s="177" t="s">
        <v>21</v>
      </c>
      <c r="G11" s="181">
        <v>125</v>
      </c>
      <c r="H11" s="181">
        <v>40</v>
      </c>
      <c r="I11" s="178">
        <v>45</v>
      </c>
      <c r="J11" s="178">
        <f t="shared" si="0"/>
        <v>210</v>
      </c>
    </row>
    <row r="12" spans="1:11" s="169" customFormat="1" ht="15" customHeight="1" x14ac:dyDescent="0.8">
      <c r="A12" s="169" t="s">
        <v>915</v>
      </c>
      <c r="B12" s="169" t="s">
        <v>862</v>
      </c>
      <c r="C12" s="169" t="s">
        <v>20</v>
      </c>
      <c r="D12" s="169" t="s">
        <v>8</v>
      </c>
      <c r="E12" s="177" t="s">
        <v>384</v>
      </c>
      <c r="F12" s="177"/>
      <c r="G12" s="181">
        <v>125</v>
      </c>
      <c r="H12" s="181">
        <v>40</v>
      </c>
      <c r="I12" s="178"/>
      <c r="J12" s="178">
        <f t="shared" si="0"/>
        <v>165</v>
      </c>
    </row>
    <row r="13" spans="1:11" s="169" customFormat="1" ht="15" customHeight="1" x14ac:dyDescent="0.8">
      <c r="A13" s="169" t="s">
        <v>915</v>
      </c>
      <c r="B13" s="177" t="s">
        <v>850</v>
      </c>
      <c r="C13" s="169" t="s">
        <v>7</v>
      </c>
      <c r="D13" s="169" t="s">
        <v>8</v>
      </c>
      <c r="E13" s="177" t="s">
        <v>384</v>
      </c>
      <c r="F13" s="177"/>
      <c r="G13" s="181">
        <v>125</v>
      </c>
      <c r="H13" s="181">
        <v>40</v>
      </c>
      <c r="I13" s="178"/>
      <c r="J13" s="178">
        <f t="shared" si="0"/>
        <v>165</v>
      </c>
    </row>
    <row r="14" spans="1:11" s="169" customFormat="1" ht="16" x14ac:dyDescent="0.8">
      <c r="A14" s="169" t="s">
        <v>915</v>
      </c>
      <c r="B14" s="177" t="s">
        <v>851</v>
      </c>
      <c r="C14" s="169" t="s">
        <v>7</v>
      </c>
      <c r="D14" s="169" t="s">
        <v>8</v>
      </c>
      <c r="E14" s="188" t="s">
        <v>917</v>
      </c>
      <c r="F14" s="177"/>
      <c r="G14" s="181">
        <v>125</v>
      </c>
      <c r="H14" s="182">
        <v>45</v>
      </c>
      <c r="I14" s="180"/>
      <c r="J14" s="178">
        <f t="shared" si="0"/>
        <v>170</v>
      </c>
    </row>
    <row r="15" spans="1:11" s="169" customFormat="1" ht="16" x14ac:dyDescent="0.8">
      <c r="A15" s="177" t="s">
        <v>915</v>
      </c>
      <c r="B15" s="177" t="s">
        <v>837</v>
      </c>
      <c r="C15" s="177" t="s">
        <v>24</v>
      </c>
      <c r="D15" s="188" t="s">
        <v>39</v>
      </c>
      <c r="E15" s="177"/>
      <c r="F15" s="177"/>
      <c r="G15" s="181">
        <v>55</v>
      </c>
      <c r="H15" s="181"/>
      <c r="I15" s="181"/>
      <c r="J15" s="178">
        <f t="shared" si="0"/>
        <v>55</v>
      </c>
    </row>
    <row r="16" spans="1:11" s="169" customFormat="1" ht="16" x14ac:dyDescent="0.8">
      <c r="A16" s="177" t="s">
        <v>915</v>
      </c>
      <c r="B16" s="177" t="s">
        <v>852</v>
      </c>
      <c r="C16" s="177" t="s">
        <v>24</v>
      </c>
      <c r="D16" s="169" t="s">
        <v>15</v>
      </c>
      <c r="E16" s="177"/>
      <c r="F16" s="177"/>
      <c r="G16" s="181">
        <v>40</v>
      </c>
      <c r="H16" s="181"/>
      <c r="I16" s="178"/>
      <c r="J16" s="178">
        <f t="shared" si="0"/>
        <v>40</v>
      </c>
    </row>
    <row r="17" spans="1:11" s="169" customFormat="1" ht="15" customHeight="1" x14ac:dyDescent="0.8">
      <c r="A17" s="169" t="s">
        <v>918</v>
      </c>
      <c r="B17" s="169" t="s">
        <v>855</v>
      </c>
      <c r="C17" s="169" t="s">
        <v>7</v>
      </c>
      <c r="D17" s="169" t="s">
        <v>8</v>
      </c>
      <c r="E17" s="188" t="s">
        <v>919</v>
      </c>
      <c r="F17" s="169" t="s">
        <v>384</v>
      </c>
      <c r="G17" s="178">
        <v>125</v>
      </c>
      <c r="H17" s="178">
        <v>90</v>
      </c>
      <c r="I17" s="178">
        <v>45</v>
      </c>
      <c r="J17" s="178">
        <f>SUM(G17:I17)</f>
        <v>260</v>
      </c>
      <c r="K17" s="217"/>
    </row>
    <row r="18" spans="1:11" s="169" customFormat="1" ht="15" customHeight="1" x14ac:dyDescent="0.8">
      <c r="A18" s="169" t="s">
        <v>918</v>
      </c>
      <c r="B18" s="169" t="s">
        <v>822</v>
      </c>
      <c r="C18" s="169" t="s">
        <v>7</v>
      </c>
      <c r="D18" s="169" t="s">
        <v>8</v>
      </c>
      <c r="E18" s="169" t="s">
        <v>384</v>
      </c>
      <c r="G18" s="178">
        <v>125</v>
      </c>
      <c r="H18" s="178">
        <v>40</v>
      </c>
      <c r="I18" s="178"/>
      <c r="J18" s="178">
        <f t="shared" ref="J18:J29" si="1">SUM(G18:I18)</f>
        <v>165</v>
      </c>
    </row>
    <row r="19" spans="1:11" s="169" customFormat="1" ht="15" customHeight="1" x14ac:dyDescent="0.8">
      <c r="A19" s="169" t="s">
        <v>918</v>
      </c>
      <c r="B19" s="169" t="s">
        <v>853</v>
      </c>
      <c r="C19" s="169" t="s">
        <v>7</v>
      </c>
      <c r="D19" s="213" t="s">
        <v>15</v>
      </c>
      <c r="G19" s="178">
        <v>40</v>
      </c>
      <c r="H19" s="178"/>
      <c r="I19" s="178"/>
      <c r="J19" s="178">
        <f t="shared" si="1"/>
        <v>40</v>
      </c>
      <c r="K19" s="217"/>
    </row>
    <row r="20" spans="1:11" s="169" customFormat="1" ht="15" customHeight="1" x14ac:dyDescent="0.8">
      <c r="A20" s="169" t="s">
        <v>918</v>
      </c>
      <c r="B20" s="169" t="s">
        <v>848</v>
      </c>
      <c r="C20" s="169" t="s">
        <v>7</v>
      </c>
      <c r="D20" s="169" t="s">
        <v>8</v>
      </c>
      <c r="E20" s="188" t="s">
        <v>920</v>
      </c>
      <c r="F20" s="169" t="s">
        <v>384</v>
      </c>
      <c r="G20" s="178">
        <v>125</v>
      </c>
      <c r="H20" s="178">
        <v>75</v>
      </c>
      <c r="I20" s="178">
        <v>45</v>
      </c>
      <c r="J20" s="178">
        <f t="shared" si="1"/>
        <v>245</v>
      </c>
    </row>
    <row r="21" spans="1:11" s="169" customFormat="1" ht="15" customHeight="1" x14ac:dyDescent="0.8">
      <c r="A21" s="169" t="s">
        <v>918</v>
      </c>
      <c r="B21" s="169" t="s">
        <v>872</v>
      </c>
      <c r="C21" s="169" t="s">
        <v>20</v>
      </c>
      <c r="D21" s="169" t="s">
        <v>33</v>
      </c>
      <c r="E21" s="169" t="s">
        <v>384</v>
      </c>
      <c r="G21" s="178">
        <v>85</v>
      </c>
      <c r="H21" s="178">
        <v>40</v>
      </c>
      <c r="I21" s="178"/>
      <c r="J21" s="178">
        <f t="shared" si="1"/>
        <v>125</v>
      </c>
    </row>
    <row r="22" spans="1:11" s="169" customFormat="1" ht="15" customHeight="1" x14ac:dyDescent="0.8">
      <c r="A22" s="169" t="s">
        <v>918</v>
      </c>
      <c r="B22" s="169" t="s">
        <v>888</v>
      </c>
      <c r="C22" s="169" t="s">
        <v>20</v>
      </c>
      <c r="D22" s="169" t="s">
        <v>33</v>
      </c>
      <c r="G22" s="178">
        <v>85</v>
      </c>
      <c r="H22" s="178"/>
      <c r="I22" s="178"/>
      <c r="J22" s="178">
        <f t="shared" si="1"/>
        <v>85</v>
      </c>
      <c r="K22" s="217"/>
    </row>
    <row r="23" spans="1:11" s="169" customFormat="1" ht="15" customHeight="1" x14ac:dyDescent="0.8">
      <c r="A23" s="169" t="s">
        <v>918</v>
      </c>
      <c r="B23" s="169" t="s">
        <v>849</v>
      </c>
      <c r="C23" s="169" t="s">
        <v>24</v>
      </c>
      <c r="D23" s="169" t="s">
        <v>8</v>
      </c>
      <c r="E23" s="169" t="s">
        <v>384</v>
      </c>
      <c r="F23" s="169" t="s">
        <v>802</v>
      </c>
      <c r="G23" s="178">
        <v>125</v>
      </c>
      <c r="H23" s="178">
        <v>40</v>
      </c>
      <c r="I23" s="178">
        <v>30</v>
      </c>
      <c r="J23" s="178">
        <f t="shared" si="1"/>
        <v>195</v>
      </c>
      <c r="K23" s="217"/>
    </row>
    <row r="24" spans="1:11" s="169" customFormat="1" ht="15" customHeight="1" x14ac:dyDescent="0.8">
      <c r="A24" s="169" t="s">
        <v>918</v>
      </c>
      <c r="B24" s="169" t="s">
        <v>878</v>
      </c>
      <c r="C24" s="169" t="s">
        <v>20</v>
      </c>
      <c r="D24" s="169" t="s">
        <v>8</v>
      </c>
      <c r="E24" s="169" t="s">
        <v>384</v>
      </c>
      <c r="G24" s="178">
        <v>125</v>
      </c>
      <c r="H24" s="178">
        <v>40</v>
      </c>
      <c r="I24" s="178"/>
      <c r="J24" s="178">
        <f t="shared" si="1"/>
        <v>165</v>
      </c>
    </row>
    <row r="25" spans="1:11" s="169" customFormat="1" ht="15" customHeight="1" x14ac:dyDescent="0.8">
      <c r="A25" s="169" t="s">
        <v>918</v>
      </c>
      <c r="B25" s="169" t="s">
        <v>891</v>
      </c>
      <c r="C25" s="169" t="s">
        <v>24</v>
      </c>
      <c r="D25" s="169" t="s">
        <v>33</v>
      </c>
      <c r="G25" s="181">
        <v>85</v>
      </c>
      <c r="H25" s="181"/>
      <c r="I25" s="181"/>
      <c r="J25" s="178">
        <f t="shared" si="1"/>
        <v>85</v>
      </c>
      <c r="K25" s="217"/>
    </row>
    <row r="26" spans="1:11" s="169" customFormat="1" ht="15" customHeight="1" x14ac:dyDescent="0.8">
      <c r="A26" s="169" t="s">
        <v>918</v>
      </c>
      <c r="B26" s="169" t="s">
        <v>858</v>
      </c>
      <c r="C26" s="169" t="s">
        <v>20</v>
      </c>
      <c r="D26" s="169" t="s">
        <v>8</v>
      </c>
      <c r="E26" s="169" t="s">
        <v>384</v>
      </c>
      <c r="F26" s="169" t="s">
        <v>21</v>
      </c>
      <c r="G26" s="181">
        <v>125</v>
      </c>
      <c r="H26" s="181">
        <v>40</v>
      </c>
      <c r="I26" s="181">
        <v>45</v>
      </c>
      <c r="J26" s="178">
        <f t="shared" si="1"/>
        <v>210</v>
      </c>
    </row>
    <row r="27" spans="1:11" s="169" customFormat="1" ht="15" customHeight="1" x14ac:dyDescent="0.8">
      <c r="A27" s="169" t="s">
        <v>918</v>
      </c>
      <c r="B27" s="169" t="s">
        <v>899</v>
      </c>
      <c r="C27" s="169" t="s">
        <v>24</v>
      </c>
      <c r="D27" s="169" t="s">
        <v>41</v>
      </c>
      <c r="G27" s="181">
        <v>85</v>
      </c>
      <c r="H27" s="181"/>
      <c r="I27" s="181"/>
      <c r="J27" s="178">
        <f t="shared" si="1"/>
        <v>85</v>
      </c>
    </row>
    <row r="28" spans="1:11" s="169" customFormat="1" ht="15" customHeight="1" x14ac:dyDescent="0.8">
      <c r="A28" s="169" t="s">
        <v>918</v>
      </c>
      <c r="B28" s="169" t="s">
        <v>914</v>
      </c>
      <c r="C28" s="169" t="s">
        <v>24</v>
      </c>
      <c r="D28" s="169" t="s">
        <v>8</v>
      </c>
      <c r="E28" s="169" t="s">
        <v>384</v>
      </c>
      <c r="F28" s="169" t="s">
        <v>802</v>
      </c>
      <c r="G28" s="181">
        <v>125</v>
      </c>
      <c r="H28" s="181">
        <v>40</v>
      </c>
      <c r="I28" s="181">
        <v>30</v>
      </c>
      <c r="J28" s="178">
        <f t="shared" si="1"/>
        <v>195</v>
      </c>
    </row>
    <row r="29" spans="1:11" s="169" customFormat="1" ht="16" x14ac:dyDescent="0.8">
      <c r="A29" s="169" t="s">
        <v>918</v>
      </c>
      <c r="B29" s="169" t="s">
        <v>874</v>
      </c>
      <c r="C29" s="169" t="s">
        <v>20</v>
      </c>
      <c r="D29" s="169" t="s">
        <v>8</v>
      </c>
      <c r="E29" s="169" t="s">
        <v>384</v>
      </c>
      <c r="G29" s="181">
        <v>125</v>
      </c>
      <c r="H29" s="182">
        <v>40</v>
      </c>
      <c r="I29" s="182"/>
      <c r="J29" s="178">
        <f t="shared" si="1"/>
        <v>165</v>
      </c>
    </row>
    <row r="30" spans="1:11" s="169" customFormat="1" ht="15" customHeight="1" x14ac:dyDescent="0.8">
      <c r="A30" s="169" t="s">
        <v>921</v>
      </c>
      <c r="B30" s="169" t="s">
        <v>840</v>
      </c>
      <c r="C30" s="177" t="s">
        <v>7</v>
      </c>
      <c r="D30" s="169" t="s">
        <v>32</v>
      </c>
      <c r="E30" s="169" t="s">
        <v>384</v>
      </c>
      <c r="G30" s="178">
        <v>155</v>
      </c>
      <c r="H30" s="178">
        <v>40</v>
      </c>
      <c r="I30" s="178"/>
      <c r="J30" s="178">
        <f>SUM(G30:I30)</f>
        <v>195</v>
      </c>
      <c r="K30" s="217"/>
    </row>
    <row r="31" spans="1:11" s="169" customFormat="1" ht="15" customHeight="1" x14ac:dyDescent="0.8">
      <c r="A31" s="169" t="s">
        <v>921</v>
      </c>
      <c r="B31" s="169" t="s">
        <v>865</v>
      </c>
      <c r="C31" s="177" t="s">
        <v>7</v>
      </c>
      <c r="D31" s="169" t="s">
        <v>8</v>
      </c>
      <c r="E31" s="169" t="s">
        <v>384</v>
      </c>
      <c r="F31" s="169" t="s">
        <v>21</v>
      </c>
      <c r="G31" s="178">
        <v>125</v>
      </c>
      <c r="H31" s="178">
        <v>40</v>
      </c>
      <c r="I31" s="178">
        <v>90</v>
      </c>
      <c r="J31" s="178">
        <f t="shared" ref="J31:J45" si="2">SUM(G31:I31)</f>
        <v>255</v>
      </c>
    </row>
    <row r="32" spans="1:11" s="169" customFormat="1" ht="15" customHeight="1" x14ac:dyDescent="0.8">
      <c r="A32" s="169" t="s">
        <v>921</v>
      </c>
      <c r="B32" s="169" t="s">
        <v>869</v>
      </c>
      <c r="C32" s="177" t="s">
        <v>7</v>
      </c>
      <c r="D32" s="169" t="s">
        <v>8</v>
      </c>
      <c r="E32" s="169" t="s">
        <v>384</v>
      </c>
      <c r="G32" s="178">
        <v>125</v>
      </c>
      <c r="H32" s="178">
        <v>40</v>
      </c>
      <c r="I32" s="178"/>
      <c r="J32" s="178">
        <f t="shared" si="2"/>
        <v>165</v>
      </c>
      <c r="K32" s="217"/>
    </row>
    <row r="33" spans="1:11" s="169" customFormat="1" ht="15" customHeight="1" x14ac:dyDescent="0.8">
      <c r="A33" s="169" t="s">
        <v>921</v>
      </c>
      <c r="B33" s="169" t="s">
        <v>846</v>
      </c>
      <c r="C33" s="169" t="s">
        <v>20</v>
      </c>
      <c r="D33" s="169" t="s">
        <v>33</v>
      </c>
      <c r="G33" s="178">
        <v>85</v>
      </c>
      <c r="H33" s="178"/>
      <c r="I33" s="178"/>
      <c r="J33" s="178">
        <f t="shared" si="2"/>
        <v>85</v>
      </c>
    </row>
    <row r="34" spans="1:11" s="169" customFormat="1" ht="15" customHeight="1" x14ac:dyDescent="0.8">
      <c r="A34" s="169" t="s">
        <v>921</v>
      </c>
      <c r="B34" s="169" t="s">
        <v>847</v>
      </c>
      <c r="C34" s="169" t="s">
        <v>20</v>
      </c>
      <c r="D34" s="169" t="s">
        <v>17</v>
      </c>
      <c r="E34" s="169" t="s">
        <v>384</v>
      </c>
      <c r="G34" s="178">
        <v>105</v>
      </c>
      <c r="H34" s="178">
        <v>40</v>
      </c>
      <c r="I34" s="178"/>
      <c r="J34" s="178">
        <f t="shared" si="2"/>
        <v>145</v>
      </c>
    </row>
    <row r="35" spans="1:11" s="169" customFormat="1" ht="15" customHeight="1" x14ac:dyDescent="0.8">
      <c r="A35" s="169" t="s">
        <v>921</v>
      </c>
      <c r="B35" s="169" t="s">
        <v>910</v>
      </c>
      <c r="C35" s="169" t="s">
        <v>20</v>
      </c>
      <c r="D35" s="169" t="s">
        <v>33</v>
      </c>
      <c r="G35" s="178">
        <v>85</v>
      </c>
      <c r="H35" s="178"/>
      <c r="I35" s="178"/>
      <c r="J35" s="178">
        <f t="shared" si="2"/>
        <v>85</v>
      </c>
      <c r="K35" s="217"/>
    </row>
    <row r="36" spans="1:11" s="169" customFormat="1" ht="15" customHeight="1" x14ac:dyDescent="0.8">
      <c r="A36" s="169" t="s">
        <v>921</v>
      </c>
      <c r="B36" s="169" t="s">
        <v>870</v>
      </c>
      <c r="C36" s="169" t="s">
        <v>24</v>
      </c>
      <c r="D36" s="169" t="s">
        <v>8</v>
      </c>
      <c r="E36" s="169" t="s">
        <v>384</v>
      </c>
      <c r="F36" s="169" t="s">
        <v>21</v>
      </c>
      <c r="G36" s="178">
        <v>125</v>
      </c>
      <c r="H36" s="178">
        <v>40</v>
      </c>
      <c r="I36" s="178">
        <v>45</v>
      </c>
      <c r="J36" s="178">
        <f t="shared" si="2"/>
        <v>210</v>
      </c>
    </row>
    <row r="37" spans="1:11" s="169" customFormat="1" ht="15" customHeight="1" x14ac:dyDescent="0.8">
      <c r="A37" s="169" t="s">
        <v>921</v>
      </c>
      <c r="B37" s="169" t="s">
        <v>885</v>
      </c>
      <c r="C37" s="169" t="s">
        <v>20</v>
      </c>
      <c r="D37" s="169" t="s">
        <v>8</v>
      </c>
      <c r="E37" s="169" t="s">
        <v>384</v>
      </c>
      <c r="G37" s="178">
        <v>125</v>
      </c>
      <c r="H37" s="178">
        <v>40</v>
      </c>
      <c r="I37" s="178"/>
      <c r="J37" s="178">
        <f t="shared" si="2"/>
        <v>165</v>
      </c>
      <c r="K37" s="217"/>
    </row>
    <row r="38" spans="1:11" s="169" customFormat="1" ht="15" customHeight="1" x14ac:dyDescent="0.8">
      <c r="A38" s="169" t="s">
        <v>921</v>
      </c>
      <c r="B38" s="169" t="s">
        <v>906</v>
      </c>
      <c r="C38" s="169" t="s">
        <v>20</v>
      </c>
      <c r="D38" s="169" t="s">
        <v>32</v>
      </c>
      <c r="E38" s="169" t="s">
        <v>384</v>
      </c>
      <c r="G38" s="178">
        <v>155</v>
      </c>
      <c r="H38" s="178">
        <v>40</v>
      </c>
      <c r="I38" s="178"/>
      <c r="J38" s="178">
        <f t="shared" si="2"/>
        <v>195</v>
      </c>
    </row>
    <row r="39" spans="1:11" s="169" customFormat="1" ht="15" customHeight="1" x14ac:dyDescent="0.8">
      <c r="A39" s="169" t="s">
        <v>921</v>
      </c>
      <c r="B39" s="169" t="s">
        <v>857</v>
      </c>
      <c r="C39" s="169" t="s">
        <v>24</v>
      </c>
      <c r="D39" s="169" t="s">
        <v>8</v>
      </c>
      <c r="E39" s="169" t="s">
        <v>384</v>
      </c>
      <c r="F39" s="169" t="s">
        <v>21</v>
      </c>
      <c r="G39" s="178">
        <v>125</v>
      </c>
      <c r="H39" s="178">
        <v>40</v>
      </c>
      <c r="I39" s="178">
        <v>90</v>
      </c>
      <c r="J39" s="178">
        <f t="shared" si="2"/>
        <v>255</v>
      </c>
    </row>
    <row r="40" spans="1:11" s="169" customFormat="1" ht="15" customHeight="1" x14ac:dyDescent="0.8">
      <c r="A40" s="169" t="s">
        <v>921</v>
      </c>
      <c r="B40" s="169" t="s">
        <v>841</v>
      </c>
      <c r="C40" s="169" t="s">
        <v>20</v>
      </c>
      <c r="D40" s="169" t="s">
        <v>32</v>
      </c>
      <c r="E40" s="169" t="s">
        <v>384</v>
      </c>
      <c r="G40" s="178">
        <v>155</v>
      </c>
      <c r="H40" s="178">
        <v>40</v>
      </c>
      <c r="I40" s="178"/>
      <c r="J40" s="178">
        <f t="shared" si="2"/>
        <v>195</v>
      </c>
    </row>
    <row r="41" spans="1:11" s="169" customFormat="1" ht="16" x14ac:dyDescent="0.8">
      <c r="A41" s="169" t="s">
        <v>921</v>
      </c>
      <c r="B41" s="169" t="s">
        <v>876</v>
      </c>
      <c r="C41" s="169" t="s">
        <v>24</v>
      </c>
      <c r="D41" s="169" t="s">
        <v>8</v>
      </c>
      <c r="E41" s="169" t="s">
        <v>384</v>
      </c>
      <c r="G41" s="178">
        <v>125</v>
      </c>
      <c r="H41" s="180">
        <v>40</v>
      </c>
      <c r="I41" s="180"/>
      <c r="J41" s="178">
        <f t="shared" si="2"/>
        <v>165</v>
      </c>
    </row>
    <row r="42" spans="1:11" s="169" customFormat="1" ht="16" x14ac:dyDescent="0.8">
      <c r="A42" s="169" t="s">
        <v>921</v>
      </c>
      <c r="B42" s="169" t="s">
        <v>860</v>
      </c>
      <c r="C42" s="169" t="s">
        <v>20</v>
      </c>
      <c r="D42" s="169" t="s">
        <v>8</v>
      </c>
      <c r="E42" s="169" t="s">
        <v>916</v>
      </c>
      <c r="F42" s="169" t="s">
        <v>384</v>
      </c>
      <c r="G42" s="181">
        <v>125</v>
      </c>
      <c r="H42" s="182">
        <v>30</v>
      </c>
      <c r="I42" s="182">
        <v>40</v>
      </c>
      <c r="J42" s="178">
        <f t="shared" si="2"/>
        <v>195</v>
      </c>
    </row>
    <row r="43" spans="1:11" s="169" customFormat="1" ht="16" x14ac:dyDescent="0.8">
      <c r="A43" s="169" t="s">
        <v>921</v>
      </c>
      <c r="B43" s="169" t="s">
        <v>877</v>
      </c>
      <c r="C43" s="169" t="s">
        <v>24</v>
      </c>
      <c r="D43" s="169" t="s">
        <v>33</v>
      </c>
      <c r="E43" s="169" t="s">
        <v>384</v>
      </c>
      <c r="G43" s="181">
        <v>85</v>
      </c>
      <c r="H43" s="181">
        <v>40</v>
      </c>
      <c r="I43" s="181"/>
      <c r="J43" s="178">
        <f t="shared" si="2"/>
        <v>125</v>
      </c>
    </row>
    <row r="44" spans="1:11" s="169" customFormat="1" ht="16" x14ac:dyDescent="0.8">
      <c r="A44" s="169" t="s">
        <v>921</v>
      </c>
      <c r="B44" s="169" t="s">
        <v>845</v>
      </c>
      <c r="C44" s="169" t="s">
        <v>24</v>
      </c>
      <c r="D44" s="169" t="s">
        <v>15</v>
      </c>
      <c r="G44" s="181">
        <v>40</v>
      </c>
      <c r="H44" s="181"/>
      <c r="I44" s="181"/>
      <c r="J44" s="178">
        <f t="shared" si="2"/>
        <v>40</v>
      </c>
    </row>
    <row r="45" spans="1:11" s="169" customFormat="1" ht="16" x14ac:dyDescent="0.8">
      <c r="A45" s="169" t="s">
        <v>921</v>
      </c>
      <c r="B45" s="169" t="s">
        <v>818</v>
      </c>
      <c r="C45" s="169" t="s">
        <v>24</v>
      </c>
      <c r="D45" s="169" t="s">
        <v>8</v>
      </c>
      <c r="G45" s="181">
        <v>125</v>
      </c>
      <c r="H45" s="181"/>
      <c r="I45" s="181"/>
      <c r="J45" s="178">
        <f t="shared" si="2"/>
        <v>125</v>
      </c>
    </row>
    <row r="46" spans="1:11" s="169" customFormat="1" ht="17" customHeight="1" x14ac:dyDescent="0.8">
      <c r="A46" s="169" t="s">
        <v>922</v>
      </c>
      <c r="B46" s="169" t="s">
        <v>854</v>
      </c>
      <c r="C46" s="169" t="s">
        <v>20</v>
      </c>
      <c r="D46" s="169" t="s">
        <v>15</v>
      </c>
      <c r="G46" s="181">
        <v>40</v>
      </c>
      <c r="H46" s="181"/>
      <c r="I46" s="181"/>
      <c r="J46" s="181">
        <f>SUM(G46:I46)</f>
        <v>40</v>
      </c>
      <c r="K46" s="217"/>
    </row>
    <row r="47" spans="1:11" s="169" customFormat="1" ht="15" customHeight="1" x14ac:dyDescent="0.8">
      <c r="A47" s="169" t="s">
        <v>922</v>
      </c>
      <c r="B47" s="169" t="s">
        <v>881</v>
      </c>
      <c r="C47" s="169" t="s">
        <v>20</v>
      </c>
      <c r="D47" s="169" t="s">
        <v>8</v>
      </c>
      <c r="E47" s="169" t="s">
        <v>384</v>
      </c>
      <c r="G47" s="181">
        <v>125</v>
      </c>
      <c r="H47" s="181">
        <v>40</v>
      </c>
      <c r="I47" s="181"/>
      <c r="J47" s="181">
        <f t="shared" ref="J47:J63" si="3">SUM(G47:I47)</f>
        <v>165</v>
      </c>
    </row>
    <row r="48" spans="1:11" s="169" customFormat="1" ht="15" customHeight="1" x14ac:dyDescent="0.8">
      <c r="A48" s="169" t="s">
        <v>922</v>
      </c>
      <c r="B48" s="169" t="s">
        <v>909</v>
      </c>
      <c r="C48" s="169" t="s">
        <v>24</v>
      </c>
      <c r="D48" s="169" t="s">
        <v>33</v>
      </c>
      <c r="E48" s="169" t="s">
        <v>384</v>
      </c>
      <c r="G48" s="181">
        <v>85</v>
      </c>
      <c r="H48" s="181">
        <v>40</v>
      </c>
      <c r="I48" s="181"/>
      <c r="J48" s="181">
        <f t="shared" si="3"/>
        <v>125</v>
      </c>
      <c r="K48" s="217"/>
    </row>
    <row r="49" spans="1:11" s="169" customFormat="1" ht="15" customHeight="1" x14ac:dyDescent="0.8">
      <c r="A49" s="169" t="s">
        <v>922</v>
      </c>
      <c r="B49" s="169" t="s">
        <v>904</v>
      </c>
      <c r="C49" s="169" t="s">
        <v>24</v>
      </c>
      <c r="D49" s="169" t="s">
        <v>17</v>
      </c>
      <c r="E49" s="169" t="s">
        <v>384</v>
      </c>
      <c r="G49" s="181">
        <v>105</v>
      </c>
      <c r="H49" s="181">
        <v>40</v>
      </c>
      <c r="I49" s="181"/>
      <c r="J49" s="181">
        <f t="shared" si="3"/>
        <v>145</v>
      </c>
    </row>
    <row r="50" spans="1:11" s="169" customFormat="1" ht="15" customHeight="1" x14ac:dyDescent="0.8">
      <c r="A50" s="169" t="s">
        <v>922</v>
      </c>
      <c r="B50" s="169" t="s">
        <v>900</v>
      </c>
      <c r="C50" s="169" t="s">
        <v>20</v>
      </c>
      <c r="D50" s="169" t="s">
        <v>32</v>
      </c>
      <c r="E50" s="169" t="s">
        <v>384</v>
      </c>
      <c r="F50" s="169" t="s">
        <v>802</v>
      </c>
      <c r="G50" s="181">
        <v>155</v>
      </c>
      <c r="H50" s="181">
        <v>40</v>
      </c>
      <c r="I50" s="181">
        <v>30</v>
      </c>
      <c r="J50" s="181">
        <f t="shared" si="3"/>
        <v>225</v>
      </c>
    </row>
    <row r="51" spans="1:11" s="169" customFormat="1" ht="15" customHeight="1" x14ac:dyDescent="0.8">
      <c r="A51" s="169" t="s">
        <v>922</v>
      </c>
      <c r="B51" s="169" t="s">
        <v>535</v>
      </c>
      <c r="C51" s="169" t="s">
        <v>20</v>
      </c>
      <c r="D51" s="169" t="s">
        <v>41</v>
      </c>
      <c r="G51" s="181">
        <v>85</v>
      </c>
      <c r="H51" s="181"/>
      <c r="I51" s="181"/>
      <c r="J51" s="181">
        <f t="shared" si="3"/>
        <v>85</v>
      </c>
      <c r="K51" s="217"/>
    </row>
    <row r="52" spans="1:11" s="169" customFormat="1" ht="15" customHeight="1" x14ac:dyDescent="0.8">
      <c r="A52" s="169" t="s">
        <v>922</v>
      </c>
      <c r="B52" s="169" t="s">
        <v>913</v>
      </c>
      <c r="C52" s="169" t="s">
        <v>24</v>
      </c>
      <c r="D52" s="169" t="s">
        <v>33</v>
      </c>
      <c r="E52" s="169" t="s">
        <v>384</v>
      </c>
      <c r="G52" s="181">
        <v>105</v>
      </c>
      <c r="H52" s="181">
        <v>40</v>
      </c>
      <c r="I52" s="181"/>
      <c r="J52" s="181">
        <f t="shared" si="3"/>
        <v>145</v>
      </c>
    </row>
    <row r="53" spans="1:11" s="169" customFormat="1" ht="15" customHeight="1" x14ac:dyDescent="0.8">
      <c r="A53" s="169" t="s">
        <v>922</v>
      </c>
      <c r="B53" s="169" t="s">
        <v>650</v>
      </c>
      <c r="C53" s="169" t="s">
        <v>20</v>
      </c>
      <c r="D53" s="169" t="s">
        <v>15</v>
      </c>
      <c r="G53" s="181">
        <v>40</v>
      </c>
      <c r="H53" s="181"/>
      <c r="I53" s="181"/>
      <c r="J53" s="181">
        <f t="shared" si="3"/>
        <v>40</v>
      </c>
      <c r="K53" s="217"/>
    </row>
    <row r="54" spans="1:11" s="169" customFormat="1" ht="15" customHeight="1" x14ac:dyDescent="0.8">
      <c r="A54" s="169" t="s">
        <v>922</v>
      </c>
      <c r="B54" s="169" t="s">
        <v>880</v>
      </c>
      <c r="C54" s="169" t="s">
        <v>24</v>
      </c>
      <c r="D54" s="169" t="s">
        <v>15</v>
      </c>
      <c r="G54" s="181">
        <v>40</v>
      </c>
      <c r="H54" s="181"/>
      <c r="I54" s="181"/>
      <c r="J54" s="181">
        <f t="shared" si="3"/>
        <v>40</v>
      </c>
    </row>
    <row r="55" spans="1:11" s="169" customFormat="1" ht="15" customHeight="1" x14ac:dyDescent="0.8">
      <c r="A55" s="169" t="s">
        <v>922</v>
      </c>
      <c r="B55" s="169" t="s">
        <v>873</v>
      </c>
      <c r="C55" s="169" t="s">
        <v>20</v>
      </c>
      <c r="D55" s="169" t="s">
        <v>8</v>
      </c>
      <c r="E55" s="169" t="s">
        <v>21</v>
      </c>
      <c r="G55" s="181">
        <v>125</v>
      </c>
      <c r="H55" s="181">
        <v>45</v>
      </c>
      <c r="I55" s="181"/>
      <c r="J55" s="181">
        <f t="shared" si="3"/>
        <v>170</v>
      </c>
    </row>
    <row r="56" spans="1:11" s="169" customFormat="1" ht="15" customHeight="1" x14ac:dyDescent="0.8">
      <c r="A56" s="169" t="s">
        <v>922</v>
      </c>
      <c r="B56" s="169" t="s">
        <v>875</v>
      </c>
      <c r="C56" s="169" t="s">
        <v>24</v>
      </c>
      <c r="D56" s="169" t="s">
        <v>8</v>
      </c>
      <c r="E56" s="169" t="s">
        <v>384</v>
      </c>
      <c r="G56" s="181">
        <v>125</v>
      </c>
      <c r="H56" s="181">
        <v>40</v>
      </c>
      <c r="I56" s="181"/>
      <c r="J56" s="181">
        <f t="shared" si="3"/>
        <v>165</v>
      </c>
    </row>
    <row r="57" spans="1:11" s="169" customFormat="1" ht="16" x14ac:dyDescent="0.8">
      <c r="A57" s="169" t="s">
        <v>922</v>
      </c>
      <c r="B57" s="169" t="s">
        <v>898</v>
      </c>
      <c r="C57" s="169" t="s">
        <v>24</v>
      </c>
      <c r="D57" s="169" t="s">
        <v>8</v>
      </c>
      <c r="G57" s="181">
        <v>125</v>
      </c>
      <c r="H57" s="182"/>
      <c r="I57" s="182"/>
      <c r="J57" s="181">
        <f t="shared" si="3"/>
        <v>125</v>
      </c>
    </row>
    <row r="58" spans="1:11" s="169" customFormat="1" ht="16" x14ac:dyDescent="0.8">
      <c r="A58" s="169" t="s">
        <v>922</v>
      </c>
      <c r="B58" s="177" t="s">
        <v>820</v>
      </c>
      <c r="C58" s="177" t="s">
        <v>7</v>
      </c>
      <c r="D58" s="169" t="s">
        <v>15</v>
      </c>
      <c r="E58" s="177"/>
      <c r="F58" s="177"/>
      <c r="G58" s="181">
        <v>40</v>
      </c>
      <c r="H58" s="182"/>
      <c r="I58" s="182"/>
      <c r="J58" s="181">
        <f t="shared" si="3"/>
        <v>40</v>
      </c>
    </row>
    <row r="59" spans="1:11" s="169" customFormat="1" ht="16" x14ac:dyDescent="0.8">
      <c r="A59" s="169" t="s">
        <v>922</v>
      </c>
      <c r="B59" s="177" t="s">
        <v>827</v>
      </c>
      <c r="C59" s="177" t="s">
        <v>7</v>
      </c>
      <c r="D59" s="169" t="s">
        <v>15</v>
      </c>
      <c r="E59" s="177"/>
      <c r="F59" s="177"/>
      <c r="G59" s="181">
        <v>40</v>
      </c>
      <c r="H59" s="181"/>
      <c r="I59" s="181"/>
      <c r="J59" s="181">
        <f t="shared" si="3"/>
        <v>40</v>
      </c>
    </row>
    <row r="60" spans="1:11" s="169" customFormat="1" ht="16" x14ac:dyDescent="0.8">
      <c r="A60" s="169" t="s">
        <v>922</v>
      </c>
      <c r="B60" s="177" t="s">
        <v>839</v>
      </c>
      <c r="C60" s="177" t="s">
        <v>7</v>
      </c>
      <c r="D60" s="169" t="s">
        <v>8</v>
      </c>
      <c r="E60" s="177"/>
      <c r="F60" s="177"/>
      <c r="G60" s="181">
        <v>125</v>
      </c>
      <c r="H60" s="181"/>
      <c r="I60" s="181"/>
      <c r="J60" s="181">
        <f t="shared" si="3"/>
        <v>125</v>
      </c>
    </row>
    <row r="61" spans="1:11" s="169" customFormat="1" ht="16" x14ac:dyDescent="0.8">
      <c r="A61" s="169" t="s">
        <v>922</v>
      </c>
      <c r="B61" s="177" t="s">
        <v>905</v>
      </c>
      <c r="C61" s="177" t="s">
        <v>7</v>
      </c>
      <c r="D61" s="169" t="s">
        <v>8</v>
      </c>
      <c r="E61" s="169" t="s">
        <v>21</v>
      </c>
      <c r="F61" s="169" t="s">
        <v>384</v>
      </c>
      <c r="G61" s="181">
        <v>125</v>
      </c>
      <c r="H61" s="181">
        <v>90</v>
      </c>
      <c r="I61" s="181">
        <v>40</v>
      </c>
      <c r="J61" s="181">
        <f t="shared" si="3"/>
        <v>255</v>
      </c>
    </row>
    <row r="62" spans="1:11" s="169" customFormat="1" ht="16" x14ac:dyDescent="0.8">
      <c r="A62" s="169" t="s">
        <v>922</v>
      </c>
      <c r="B62" s="177" t="s">
        <v>911</v>
      </c>
      <c r="C62" s="177" t="s">
        <v>7</v>
      </c>
      <c r="D62" s="169" t="s">
        <v>15</v>
      </c>
      <c r="E62" s="177"/>
      <c r="F62" s="177"/>
      <c r="G62" s="181">
        <v>40</v>
      </c>
      <c r="H62" s="181"/>
      <c r="I62" s="181"/>
      <c r="J62" s="181">
        <f t="shared" si="3"/>
        <v>40</v>
      </c>
    </row>
    <row r="63" spans="1:11" s="169" customFormat="1" ht="16" x14ac:dyDescent="0.8">
      <c r="A63" s="169" t="s">
        <v>922</v>
      </c>
      <c r="B63" s="177" t="s">
        <v>871</v>
      </c>
      <c r="C63" s="177" t="s">
        <v>365</v>
      </c>
      <c r="D63" s="169" t="s">
        <v>8</v>
      </c>
      <c r="E63" s="169" t="s">
        <v>384</v>
      </c>
      <c r="F63" s="177"/>
      <c r="G63" s="181">
        <v>125</v>
      </c>
      <c r="H63" s="181">
        <v>40</v>
      </c>
      <c r="I63" s="181"/>
      <c r="J63" s="181">
        <f t="shared" si="3"/>
        <v>165</v>
      </c>
    </row>
    <row r="64" spans="1:11" s="169" customFormat="1" ht="14.5" customHeight="1" x14ac:dyDescent="0.8">
      <c r="A64" s="169" t="s">
        <v>923</v>
      </c>
      <c r="B64" s="169" t="s">
        <v>886</v>
      </c>
      <c r="C64" s="169" t="s">
        <v>24</v>
      </c>
      <c r="D64" s="169" t="s">
        <v>15</v>
      </c>
      <c r="G64" s="178">
        <v>40</v>
      </c>
      <c r="H64" s="181"/>
      <c r="I64" s="181"/>
      <c r="J64" s="181">
        <f>SUM(G64:I64)</f>
        <v>40</v>
      </c>
      <c r="K64" s="217"/>
    </row>
    <row r="65" spans="1:11" s="169" customFormat="1" ht="15" customHeight="1" x14ac:dyDescent="0.8">
      <c r="A65" s="169" t="s">
        <v>923</v>
      </c>
      <c r="B65" s="169" t="s">
        <v>883</v>
      </c>
      <c r="C65" s="169" t="s">
        <v>24</v>
      </c>
      <c r="D65" s="169" t="s">
        <v>31</v>
      </c>
      <c r="E65" s="169" t="s">
        <v>384</v>
      </c>
      <c r="G65" s="178">
        <v>125</v>
      </c>
      <c r="H65" s="181">
        <v>40</v>
      </c>
      <c r="I65" s="181"/>
      <c r="J65" s="181">
        <f t="shared" ref="J65:J86" si="4">SUM(G65:I65)</f>
        <v>165</v>
      </c>
    </row>
    <row r="66" spans="1:11" s="169" customFormat="1" ht="15" customHeight="1" x14ac:dyDescent="0.8">
      <c r="A66" s="169" t="s">
        <v>923</v>
      </c>
      <c r="B66" s="177" t="s">
        <v>890</v>
      </c>
      <c r="C66" s="169" t="s">
        <v>20</v>
      </c>
      <c r="D66" s="169" t="s">
        <v>17</v>
      </c>
      <c r="E66" s="169" t="s">
        <v>384</v>
      </c>
      <c r="G66" s="178">
        <v>105</v>
      </c>
      <c r="H66" s="181">
        <v>40</v>
      </c>
      <c r="I66" s="181"/>
      <c r="J66" s="181">
        <f t="shared" si="4"/>
        <v>145</v>
      </c>
      <c r="K66" s="217"/>
    </row>
    <row r="67" spans="1:11" s="169" customFormat="1" ht="15" customHeight="1" x14ac:dyDescent="0.8">
      <c r="A67" s="169" t="s">
        <v>923</v>
      </c>
      <c r="B67" s="177" t="s">
        <v>866</v>
      </c>
      <c r="C67" s="169" t="s">
        <v>20</v>
      </c>
      <c r="D67" s="169" t="s">
        <v>17</v>
      </c>
      <c r="G67" s="178">
        <v>105</v>
      </c>
      <c r="H67" s="181"/>
      <c r="I67" s="181"/>
      <c r="J67" s="181">
        <f t="shared" si="4"/>
        <v>105</v>
      </c>
    </row>
    <row r="68" spans="1:11" s="169" customFormat="1" ht="15" customHeight="1" x14ac:dyDescent="0.8">
      <c r="A68" s="169" t="s">
        <v>923</v>
      </c>
      <c r="B68" s="177" t="s">
        <v>895</v>
      </c>
      <c r="C68" s="169" t="s">
        <v>24</v>
      </c>
      <c r="D68" s="169" t="s">
        <v>15</v>
      </c>
      <c r="G68" s="178">
        <v>40</v>
      </c>
      <c r="H68" s="181"/>
      <c r="I68" s="181"/>
      <c r="J68" s="181">
        <f t="shared" si="4"/>
        <v>40</v>
      </c>
    </row>
    <row r="69" spans="1:11" s="169" customFormat="1" ht="15" customHeight="1" x14ac:dyDescent="0.8">
      <c r="A69" s="169" t="s">
        <v>923</v>
      </c>
      <c r="B69" s="177" t="s">
        <v>867</v>
      </c>
      <c r="C69" s="169" t="s">
        <v>20</v>
      </c>
      <c r="D69" s="169" t="s">
        <v>33</v>
      </c>
      <c r="G69" s="178">
        <v>85</v>
      </c>
      <c r="H69" s="181"/>
      <c r="I69" s="181"/>
      <c r="J69" s="181">
        <f t="shared" si="4"/>
        <v>85</v>
      </c>
      <c r="K69" s="217"/>
    </row>
    <row r="70" spans="1:11" s="169" customFormat="1" ht="15" customHeight="1" x14ac:dyDescent="0.8">
      <c r="A70" s="169" t="s">
        <v>923</v>
      </c>
      <c r="B70" s="177" t="s">
        <v>868</v>
      </c>
      <c r="C70" s="169" t="s">
        <v>20</v>
      </c>
      <c r="D70" s="169" t="s">
        <v>33</v>
      </c>
      <c r="G70" s="178">
        <v>85</v>
      </c>
      <c r="H70" s="181"/>
      <c r="I70" s="181"/>
      <c r="J70" s="181">
        <f t="shared" si="4"/>
        <v>85</v>
      </c>
    </row>
    <row r="71" spans="1:11" s="169" customFormat="1" ht="15" customHeight="1" x14ac:dyDescent="0.8">
      <c r="A71" s="169" t="s">
        <v>923</v>
      </c>
      <c r="B71" s="177" t="s">
        <v>884</v>
      </c>
      <c r="C71" s="169" t="s">
        <v>20</v>
      </c>
      <c r="D71" s="169" t="s">
        <v>30</v>
      </c>
      <c r="E71" s="169" t="s">
        <v>384</v>
      </c>
      <c r="G71" s="178">
        <v>185</v>
      </c>
      <c r="H71" s="181">
        <v>40</v>
      </c>
      <c r="I71" s="181"/>
      <c r="J71" s="181">
        <f t="shared" si="4"/>
        <v>225</v>
      </c>
      <c r="K71" s="217"/>
    </row>
    <row r="72" spans="1:11" s="169" customFormat="1" ht="15" customHeight="1" x14ac:dyDescent="0.8">
      <c r="A72" s="169" t="s">
        <v>923</v>
      </c>
      <c r="B72" s="177" t="s">
        <v>843</v>
      </c>
      <c r="C72" s="169" t="s">
        <v>24</v>
      </c>
      <c r="D72" s="169" t="s">
        <v>8</v>
      </c>
      <c r="G72" s="178">
        <v>125</v>
      </c>
      <c r="H72" s="181"/>
      <c r="I72" s="181"/>
      <c r="J72" s="181">
        <f t="shared" si="4"/>
        <v>125</v>
      </c>
    </row>
    <row r="73" spans="1:11" s="169" customFormat="1" ht="15" customHeight="1" x14ac:dyDescent="0.8">
      <c r="A73" s="169" t="s">
        <v>923</v>
      </c>
      <c r="B73" s="177" t="s">
        <v>864</v>
      </c>
      <c r="C73" s="169" t="s">
        <v>24</v>
      </c>
      <c r="D73" s="169" t="s">
        <v>33</v>
      </c>
      <c r="E73" s="169" t="s">
        <v>384</v>
      </c>
      <c r="G73" s="178">
        <v>85</v>
      </c>
      <c r="H73" s="181">
        <v>40</v>
      </c>
      <c r="I73" s="181"/>
      <c r="J73" s="181">
        <f t="shared" si="4"/>
        <v>125</v>
      </c>
    </row>
    <row r="74" spans="1:11" s="169" customFormat="1" ht="15" customHeight="1" x14ac:dyDescent="0.8">
      <c r="A74" s="169" t="s">
        <v>923</v>
      </c>
      <c r="B74" s="177" t="s">
        <v>896</v>
      </c>
      <c r="C74" s="169" t="s">
        <v>20</v>
      </c>
      <c r="D74" s="169" t="s">
        <v>17</v>
      </c>
      <c r="E74" s="169" t="s">
        <v>384</v>
      </c>
      <c r="G74" s="178">
        <v>105</v>
      </c>
      <c r="H74" s="181">
        <v>40</v>
      </c>
      <c r="I74" s="181"/>
      <c r="J74" s="181">
        <f t="shared" si="4"/>
        <v>145</v>
      </c>
    </row>
    <row r="75" spans="1:11" s="169" customFormat="1" ht="16" x14ac:dyDescent="0.8">
      <c r="A75" s="169" t="s">
        <v>923</v>
      </c>
      <c r="B75" s="177" t="s">
        <v>897</v>
      </c>
      <c r="C75" s="169" t="s">
        <v>24</v>
      </c>
      <c r="D75" s="169" t="s">
        <v>8</v>
      </c>
      <c r="E75" s="188" t="s">
        <v>21</v>
      </c>
      <c r="G75" s="178">
        <v>125</v>
      </c>
      <c r="H75" s="182">
        <v>45</v>
      </c>
      <c r="I75" s="182"/>
      <c r="J75" s="181">
        <f t="shared" si="4"/>
        <v>170</v>
      </c>
    </row>
    <row r="76" spans="1:11" s="169" customFormat="1" ht="16" x14ac:dyDescent="0.8">
      <c r="A76" s="169" t="s">
        <v>923</v>
      </c>
      <c r="B76" s="177" t="s">
        <v>842</v>
      </c>
      <c r="C76" s="169" t="s">
        <v>20</v>
      </c>
      <c r="D76" s="169" t="s">
        <v>32</v>
      </c>
      <c r="E76" s="169" t="s">
        <v>384</v>
      </c>
      <c r="G76" s="178">
        <v>155</v>
      </c>
      <c r="H76" s="182">
        <v>40</v>
      </c>
      <c r="I76" s="182"/>
      <c r="J76" s="181">
        <f t="shared" si="4"/>
        <v>195</v>
      </c>
    </row>
    <row r="77" spans="1:11" s="169" customFormat="1" ht="16" x14ac:dyDescent="0.8">
      <c r="A77" s="169" t="s">
        <v>923</v>
      </c>
      <c r="B77" s="177" t="s">
        <v>892</v>
      </c>
      <c r="C77" s="169" t="s">
        <v>24</v>
      </c>
      <c r="D77" s="169" t="s">
        <v>15</v>
      </c>
      <c r="G77" s="178">
        <v>40</v>
      </c>
      <c r="H77" s="181"/>
      <c r="I77" s="181"/>
      <c r="J77" s="181">
        <f t="shared" si="4"/>
        <v>40</v>
      </c>
    </row>
    <row r="78" spans="1:11" s="169" customFormat="1" ht="16" x14ac:dyDescent="0.8">
      <c r="A78" s="169" t="s">
        <v>923</v>
      </c>
      <c r="B78" s="177" t="s">
        <v>861</v>
      </c>
      <c r="C78" s="177" t="s">
        <v>7</v>
      </c>
      <c r="D78" s="213" t="s">
        <v>31</v>
      </c>
      <c r="E78" s="169" t="s">
        <v>384</v>
      </c>
      <c r="F78" s="177"/>
      <c r="G78" s="181">
        <v>125</v>
      </c>
      <c r="H78" s="181">
        <v>40</v>
      </c>
      <c r="I78" s="181"/>
      <c r="J78" s="181">
        <f t="shared" si="4"/>
        <v>165</v>
      </c>
    </row>
    <row r="79" spans="1:11" s="169" customFormat="1" ht="16" x14ac:dyDescent="0.8">
      <c r="A79" s="169" t="s">
        <v>923</v>
      </c>
      <c r="B79" s="177" t="s">
        <v>821</v>
      </c>
      <c r="C79" s="177" t="s">
        <v>7</v>
      </c>
      <c r="D79" s="169" t="s">
        <v>8</v>
      </c>
      <c r="E79" s="169" t="s">
        <v>384</v>
      </c>
      <c r="F79" s="177" t="s">
        <v>802</v>
      </c>
      <c r="G79" s="181">
        <v>125</v>
      </c>
      <c r="H79" s="181">
        <v>40</v>
      </c>
      <c r="I79" s="181">
        <v>35</v>
      </c>
      <c r="J79" s="181">
        <f t="shared" si="4"/>
        <v>200</v>
      </c>
    </row>
    <row r="80" spans="1:11" s="169" customFormat="1" ht="16" x14ac:dyDescent="0.8">
      <c r="A80" s="169" t="s">
        <v>923</v>
      </c>
      <c r="B80" s="177" t="s">
        <v>823</v>
      </c>
      <c r="C80" s="177" t="s">
        <v>7</v>
      </c>
      <c r="D80" s="169" t="s">
        <v>8</v>
      </c>
      <c r="E80" s="169" t="s">
        <v>384</v>
      </c>
      <c r="F80" s="188"/>
      <c r="G80" s="181">
        <v>125</v>
      </c>
      <c r="H80" s="181">
        <v>40</v>
      </c>
      <c r="I80" s="181"/>
      <c r="J80" s="181">
        <f t="shared" si="4"/>
        <v>165</v>
      </c>
    </row>
    <row r="81" spans="1:11" s="169" customFormat="1" ht="16" x14ac:dyDescent="0.8">
      <c r="A81" s="169" t="s">
        <v>923</v>
      </c>
      <c r="B81" s="177" t="s">
        <v>838</v>
      </c>
      <c r="C81" s="177" t="s">
        <v>7</v>
      </c>
      <c r="D81" s="169" t="s">
        <v>8</v>
      </c>
      <c r="E81" s="169" t="s">
        <v>384</v>
      </c>
      <c r="F81" s="177"/>
      <c r="G81" s="181">
        <v>125</v>
      </c>
      <c r="H81" s="181">
        <v>40</v>
      </c>
      <c r="I81" s="181"/>
      <c r="J81" s="181">
        <f t="shared" si="4"/>
        <v>165</v>
      </c>
    </row>
    <row r="82" spans="1:11" s="169" customFormat="1" ht="16" x14ac:dyDescent="0.8">
      <c r="A82" s="169" t="s">
        <v>923</v>
      </c>
      <c r="B82" s="177" t="s">
        <v>826</v>
      </c>
      <c r="C82" s="177" t="s">
        <v>7</v>
      </c>
      <c r="D82" s="169" t="s">
        <v>8</v>
      </c>
      <c r="E82" s="169" t="s">
        <v>384</v>
      </c>
      <c r="F82" s="188" t="s">
        <v>21</v>
      </c>
      <c r="G82" s="181">
        <v>125</v>
      </c>
      <c r="H82" s="181">
        <v>40</v>
      </c>
      <c r="I82" s="181">
        <v>90</v>
      </c>
      <c r="J82" s="181">
        <f t="shared" si="4"/>
        <v>255</v>
      </c>
    </row>
    <row r="83" spans="1:11" s="169" customFormat="1" ht="16" x14ac:dyDescent="0.8">
      <c r="A83" s="169" t="s">
        <v>923</v>
      </c>
      <c r="B83" s="177" t="s">
        <v>901</v>
      </c>
      <c r="C83" s="177" t="s">
        <v>7</v>
      </c>
      <c r="D83" s="169" t="s">
        <v>8</v>
      </c>
      <c r="E83" s="169" t="s">
        <v>384</v>
      </c>
      <c r="F83" s="188"/>
      <c r="G83" s="181">
        <v>125</v>
      </c>
      <c r="H83" s="181">
        <v>40</v>
      </c>
      <c r="I83" s="181"/>
      <c r="J83" s="181">
        <f t="shared" si="4"/>
        <v>165</v>
      </c>
    </row>
    <row r="84" spans="1:11" s="169" customFormat="1" ht="16" x14ac:dyDescent="0.8">
      <c r="A84" s="169" t="s">
        <v>923</v>
      </c>
      <c r="B84" s="177" t="s">
        <v>835</v>
      </c>
      <c r="C84" s="169" t="s">
        <v>24</v>
      </c>
      <c r="D84" s="169" t="s">
        <v>15</v>
      </c>
      <c r="G84" s="178">
        <v>40</v>
      </c>
      <c r="H84" s="178"/>
      <c r="I84" s="178"/>
      <c r="J84" s="181">
        <f t="shared" si="4"/>
        <v>40</v>
      </c>
    </row>
    <row r="85" spans="1:11" s="169" customFormat="1" ht="16" x14ac:dyDescent="0.8">
      <c r="A85" s="169" t="s">
        <v>923</v>
      </c>
      <c r="B85" s="177" t="s">
        <v>887</v>
      </c>
      <c r="C85" s="177" t="s">
        <v>365</v>
      </c>
      <c r="D85" s="169" t="s">
        <v>8</v>
      </c>
      <c r="G85" s="178">
        <v>125</v>
      </c>
      <c r="H85" s="178"/>
      <c r="I85" s="178"/>
      <c r="J85" s="181">
        <f t="shared" si="4"/>
        <v>125</v>
      </c>
    </row>
    <row r="86" spans="1:11" s="169" customFormat="1" ht="16" x14ac:dyDescent="0.8">
      <c r="A86" s="169" t="s">
        <v>923</v>
      </c>
      <c r="B86" s="177" t="s">
        <v>829</v>
      </c>
      <c r="C86" s="177" t="s">
        <v>365</v>
      </c>
      <c r="D86" s="169" t="s">
        <v>33</v>
      </c>
      <c r="E86" s="169" t="s">
        <v>384</v>
      </c>
      <c r="G86" s="178">
        <v>85</v>
      </c>
      <c r="H86" s="178">
        <v>40</v>
      </c>
      <c r="I86" s="178"/>
      <c r="J86" s="178">
        <f t="shared" si="4"/>
        <v>125</v>
      </c>
    </row>
    <row r="87" spans="1:11" s="169" customFormat="1" ht="15" customHeight="1" x14ac:dyDescent="0.8">
      <c r="A87" s="169" t="s">
        <v>924</v>
      </c>
      <c r="B87" s="169" t="s">
        <v>907</v>
      </c>
      <c r="C87" s="169" t="s">
        <v>20</v>
      </c>
      <c r="D87" s="169" t="s">
        <v>33</v>
      </c>
      <c r="G87" s="181">
        <v>85</v>
      </c>
      <c r="H87" s="181"/>
      <c r="I87" s="181"/>
      <c r="J87" s="181">
        <f>SUM(G87:I87)</f>
        <v>85</v>
      </c>
      <c r="K87" s="217"/>
    </row>
    <row r="88" spans="1:11" s="169" customFormat="1" ht="15" customHeight="1" x14ac:dyDescent="0.8">
      <c r="A88" s="169" t="s">
        <v>924</v>
      </c>
      <c r="B88" s="169" t="s">
        <v>912</v>
      </c>
      <c r="C88" s="169" t="s">
        <v>20</v>
      </c>
      <c r="D88" s="169" t="s">
        <v>8</v>
      </c>
      <c r="G88" s="181">
        <v>125</v>
      </c>
      <c r="H88" s="181"/>
      <c r="I88" s="181"/>
      <c r="J88" s="181">
        <f t="shared" ref="J88:J103" si="5">SUM(G88:I88)</f>
        <v>125</v>
      </c>
    </row>
    <row r="89" spans="1:11" s="169" customFormat="1" ht="15" customHeight="1" x14ac:dyDescent="0.8">
      <c r="A89" s="169" t="s">
        <v>924</v>
      </c>
      <c r="B89" s="169" t="s">
        <v>908</v>
      </c>
      <c r="C89" s="169" t="s">
        <v>20</v>
      </c>
      <c r="D89" s="169" t="s">
        <v>8</v>
      </c>
      <c r="E89" s="169" t="s">
        <v>384</v>
      </c>
      <c r="G89" s="181">
        <v>125</v>
      </c>
      <c r="H89" s="181">
        <v>40</v>
      </c>
      <c r="I89" s="181"/>
      <c r="J89" s="181">
        <f t="shared" si="5"/>
        <v>165</v>
      </c>
      <c r="K89" s="217"/>
    </row>
    <row r="90" spans="1:11" s="169" customFormat="1" ht="15" customHeight="1" x14ac:dyDescent="0.8">
      <c r="A90" s="169" t="s">
        <v>924</v>
      </c>
      <c r="B90" s="169" t="s">
        <v>882</v>
      </c>
      <c r="C90" s="169" t="s">
        <v>20</v>
      </c>
      <c r="D90" s="169" t="s">
        <v>15</v>
      </c>
      <c r="G90" s="181">
        <v>40</v>
      </c>
      <c r="H90" s="181"/>
      <c r="I90" s="181"/>
      <c r="J90" s="181">
        <f t="shared" si="5"/>
        <v>40</v>
      </c>
    </row>
    <row r="91" spans="1:11" s="169" customFormat="1" ht="15" customHeight="1" x14ac:dyDescent="0.8">
      <c r="A91" s="169" t="s">
        <v>924</v>
      </c>
      <c r="B91" s="169" t="s">
        <v>902</v>
      </c>
      <c r="C91" s="169" t="s">
        <v>20</v>
      </c>
      <c r="D91" s="169" t="s">
        <v>8</v>
      </c>
      <c r="E91" s="169" t="s">
        <v>384</v>
      </c>
      <c r="F91" s="169" t="s">
        <v>21</v>
      </c>
      <c r="G91" s="181">
        <v>125</v>
      </c>
      <c r="H91" s="181">
        <v>40</v>
      </c>
      <c r="I91" s="181"/>
      <c r="J91" s="181">
        <f t="shared" si="5"/>
        <v>165</v>
      </c>
    </row>
    <row r="92" spans="1:11" s="169" customFormat="1" ht="15" customHeight="1" x14ac:dyDescent="0.8">
      <c r="A92" s="169" t="s">
        <v>924</v>
      </c>
      <c r="B92" s="169" t="s">
        <v>903</v>
      </c>
      <c r="C92" s="169" t="s">
        <v>20</v>
      </c>
      <c r="D92" s="169" t="s">
        <v>30</v>
      </c>
      <c r="E92" s="169" t="s">
        <v>384</v>
      </c>
      <c r="G92" s="181">
        <v>185</v>
      </c>
      <c r="H92" s="181">
        <v>40</v>
      </c>
      <c r="I92" s="181"/>
      <c r="J92" s="181">
        <f t="shared" si="5"/>
        <v>225</v>
      </c>
      <c r="K92" s="217"/>
    </row>
    <row r="93" spans="1:11" s="169" customFormat="1" ht="15" customHeight="1" x14ac:dyDescent="0.8">
      <c r="A93" s="177" t="s">
        <v>924</v>
      </c>
      <c r="B93" s="177" t="s">
        <v>830</v>
      </c>
      <c r="C93" s="177" t="s">
        <v>365</v>
      </c>
      <c r="D93" s="169" t="s">
        <v>8</v>
      </c>
      <c r="E93" s="169" t="s">
        <v>384</v>
      </c>
      <c r="F93" s="177"/>
      <c r="G93" s="181">
        <v>125</v>
      </c>
      <c r="H93" s="181">
        <v>40</v>
      </c>
      <c r="I93" s="181"/>
      <c r="J93" s="181">
        <f t="shared" si="5"/>
        <v>165</v>
      </c>
    </row>
    <row r="94" spans="1:11" s="169" customFormat="1" ht="15" customHeight="1" x14ac:dyDescent="0.8">
      <c r="A94" s="177" t="s">
        <v>924</v>
      </c>
      <c r="B94" s="177" t="s">
        <v>832</v>
      </c>
      <c r="C94" s="177" t="s">
        <v>365</v>
      </c>
      <c r="D94" s="169" t="s">
        <v>33</v>
      </c>
      <c r="E94" s="177"/>
      <c r="F94" s="177"/>
      <c r="G94" s="181">
        <v>85</v>
      </c>
      <c r="H94" s="181"/>
      <c r="I94" s="181"/>
      <c r="J94" s="181">
        <f t="shared" si="5"/>
        <v>85</v>
      </c>
      <c r="K94" s="217"/>
    </row>
    <row r="95" spans="1:11" s="169" customFormat="1" ht="15" customHeight="1" x14ac:dyDescent="0.8">
      <c r="A95" s="177" t="s">
        <v>924</v>
      </c>
      <c r="B95" s="177" t="s">
        <v>819</v>
      </c>
      <c r="C95" s="177" t="s">
        <v>365</v>
      </c>
      <c r="D95" s="177" t="s">
        <v>8</v>
      </c>
      <c r="E95" s="177"/>
      <c r="F95" s="177"/>
      <c r="G95" s="181">
        <v>125</v>
      </c>
      <c r="H95" s="181"/>
      <c r="I95" s="181"/>
      <c r="J95" s="181">
        <f t="shared" si="5"/>
        <v>125</v>
      </c>
    </row>
    <row r="96" spans="1:11" s="169" customFormat="1" ht="15" customHeight="1" x14ac:dyDescent="0.8">
      <c r="A96" s="177" t="s">
        <v>924</v>
      </c>
      <c r="B96" s="177" t="s">
        <v>831</v>
      </c>
      <c r="C96" s="177" t="s">
        <v>365</v>
      </c>
      <c r="D96" s="169" t="s">
        <v>33</v>
      </c>
      <c r="E96" s="177"/>
      <c r="F96" s="177"/>
      <c r="G96" s="181">
        <v>85</v>
      </c>
      <c r="H96" s="181"/>
      <c r="I96" s="181"/>
      <c r="J96" s="181">
        <f t="shared" si="5"/>
        <v>85</v>
      </c>
    </row>
    <row r="97" spans="1:10" s="169" customFormat="1" ht="15" customHeight="1" x14ac:dyDescent="0.8">
      <c r="A97" s="177" t="s">
        <v>924</v>
      </c>
      <c r="B97" s="177" t="s">
        <v>824</v>
      </c>
      <c r="C97" s="177" t="s">
        <v>365</v>
      </c>
      <c r="D97" s="177" t="s">
        <v>8</v>
      </c>
      <c r="E97" s="169" t="s">
        <v>384</v>
      </c>
      <c r="F97" s="177"/>
      <c r="G97" s="181">
        <v>125</v>
      </c>
      <c r="H97" s="181">
        <v>40</v>
      </c>
      <c r="I97" s="181"/>
      <c r="J97" s="181">
        <f t="shared" si="5"/>
        <v>165</v>
      </c>
    </row>
    <row r="98" spans="1:10" s="169" customFormat="1" ht="15" customHeight="1" x14ac:dyDescent="0.8">
      <c r="A98" s="177" t="s">
        <v>924</v>
      </c>
      <c r="B98" s="177" t="s">
        <v>828</v>
      </c>
      <c r="C98" s="177" t="s">
        <v>365</v>
      </c>
      <c r="D98" s="169" t="s">
        <v>33</v>
      </c>
      <c r="E98" s="169" t="s">
        <v>384</v>
      </c>
      <c r="F98" s="177"/>
      <c r="G98" s="181">
        <v>85</v>
      </c>
      <c r="H98" s="181">
        <v>40</v>
      </c>
      <c r="I98" s="181"/>
      <c r="J98" s="181">
        <f t="shared" si="5"/>
        <v>125</v>
      </c>
    </row>
    <row r="99" spans="1:10" s="169" customFormat="1" ht="15" customHeight="1" x14ac:dyDescent="0.8">
      <c r="A99" s="177" t="s">
        <v>924</v>
      </c>
      <c r="B99" s="177" t="s">
        <v>817</v>
      </c>
      <c r="C99" s="177" t="s">
        <v>7</v>
      </c>
      <c r="D99" s="169" t="s">
        <v>31</v>
      </c>
      <c r="E99" s="177"/>
      <c r="F99" s="177"/>
      <c r="G99" s="181">
        <v>125</v>
      </c>
      <c r="H99" s="181"/>
      <c r="I99" s="181"/>
      <c r="J99" s="181">
        <f t="shared" si="5"/>
        <v>125</v>
      </c>
    </row>
    <row r="100" spans="1:10" s="169" customFormat="1" ht="15" customHeight="1" x14ac:dyDescent="0.8">
      <c r="A100" s="177" t="s">
        <v>924</v>
      </c>
      <c r="B100" s="177" t="s">
        <v>834</v>
      </c>
      <c r="C100" s="177" t="s">
        <v>7</v>
      </c>
      <c r="D100" s="213" t="s">
        <v>17</v>
      </c>
      <c r="E100" s="169" t="s">
        <v>384</v>
      </c>
      <c r="F100" s="177"/>
      <c r="G100" s="181">
        <v>105</v>
      </c>
      <c r="H100" s="181">
        <v>40</v>
      </c>
      <c r="I100" s="181"/>
      <c r="J100" s="181">
        <f t="shared" si="5"/>
        <v>145</v>
      </c>
    </row>
    <row r="101" spans="1:10" s="169" customFormat="1" ht="15" customHeight="1" x14ac:dyDescent="0.8">
      <c r="A101" s="177" t="s">
        <v>924</v>
      </c>
      <c r="B101" s="177" t="s">
        <v>825</v>
      </c>
      <c r="C101" s="177" t="s">
        <v>7</v>
      </c>
      <c r="D101" s="177" t="s">
        <v>8</v>
      </c>
      <c r="E101" s="169" t="s">
        <v>21</v>
      </c>
      <c r="F101" s="169" t="s">
        <v>384</v>
      </c>
      <c r="G101" s="181">
        <v>125</v>
      </c>
      <c r="H101" s="181">
        <v>90</v>
      </c>
      <c r="I101" s="181">
        <v>40</v>
      </c>
      <c r="J101" s="181">
        <f t="shared" si="5"/>
        <v>255</v>
      </c>
    </row>
    <row r="102" spans="1:10" s="169" customFormat="1" ht="15" customHeight="1" x14ac:dyDescent="0.8">
      <c r="A102" s="177" t="s">
        <v>924</v>
      </c>
      <c r="B102" s="177" t="s">
        <v>833</v>
      </c>
      <c r="C102" s="177" t="s">
        <v>7</v>
      </c>
      <c r="D102" s="177" t="s">
        <v>8</v>
      </c>
      <c r="E102" s="169" t="s">
        <v>384</v>
      </c>
      <c r="F102" s="177"/>
      <c r="G102" s="181">
        <v>125</v>
      </c>
      <c r="H102" s="181">
        <v>40</v>
      </c>
      <c r="I102" s="181"/>
      <c r="J102" s="181">
        <f t="shared" si="5"/>
        <v>165</v>
      </c>
    </row>
    <row r="103" spans="1:10" s="169" customFormat="1" ht="15" customHeight="1" x14ac:dyDescent="0.8">
      <c r="A103" s="177" t="s">
        <v>924</v>
      </c>
      <c r="B103" s="177" t="s">
        <v>894</v>
      </c>
      <c r="C103" s="177" t="s">
        <v>7</v>
      </c>
      <c r="D103" s="177" t="s">
        <v>8</v>
      </c>
      <c r="E103" s="169" t="s">
        <v>21</v>
      </c>
      <c r="F103" s="169" t="s">
        <v>384</v>
      </c>
      <c r="G103" s="181">
        <v>125</v>
      </c>
      <c r="H103" s="181">
        <v>90</v>
      </c>
      <c r="I103" s="181">
        <v>40</v>
      </c>
      <c r="J103" s="181">
        <f t="shared" si="5"/>
        <v>255</v>
      </c>
    </row>
    <row r="104" spans="1:10" ht="15" customHeight="1" x14ac:dyDescent="0.8">
      <c r="J104" s="189">
        <f>SUM(J2:J103)</f>
        <v>14450</v>
      </c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4CAB-6456-4D47-9DF8-F9FB15304E3F}">
  <sheetPr>
    <tabColor rgb="FF00B050"/>
  </sheetPr>
  <dimension ref="A1:J87"/>
  <sheetViews>
    <sheetView topLeftCell="E1" workbookViewId="0">
      <selection activeCell="C7" sqref="C7"/>
    </sheetView>
  </sheetViews>
  <sheetFormatPr defaultRowHeight="14.75" x14ac:dyDescent="0.75"/>
  <cols>
    <col min="1" max="1" width="24.5" style="257" customWidth="1"/>
    <col min="2" max="2" width="17.9140625" style="257" customWidth="1"/>
    <col min="3" max="3" width="22.75" style="257" customWidth="1"/>
    <col min="4" max="4" width="59.1640625" style="257" customWidth="1"/>
    <col min="5" max="5" width="49.9140625" style="257" customWidth="1"/>
    <col min="6" max="6" width="62.1640625" style="257" customWidth="1"/>
    <col min="7" max="7" width="16.25" style="257" customWidth="1"/>
    <col min="8" max="8" width="13.1640625" style="257" customWidth="1"/>
    <col min="9" max="10" width="14.4140625" style="257" customWidth="1"/>
    <col min="11" max="16384" width="8.6640625" style="257"/>
  </cols>
  <sheetData>
    <row r="1" spans="1:10" ht="15" customHeight="1" x14ac:dyDescent="0.8">
      <c r="A1" s="265" t="s">
        <v>0</v>
      </c>
      <c r="B1" s="265" t="s">
        <v>1</v>
      </c>
      <c r="C1" s="265" t="s">
        <v>2</v>
      </c>
      <c r="D1" s="265" t="s">
        <v>3</v>
      </c>
      <c r="E1" s="265" t="s">
        <v>4</v>
      </c>
      <c r="F1" s="265" t="s">
        <v>4</v>
      </c>
      <c r="G1" s="266" t="s">
        <v>100</v>
      </c>
      <c r="H1" s="266" t="s">
        <v>98</v>
      </c>
      <c r="I1" s="266" t="s">
        <v>99</v>
      </c>
      <c r="J1" s="267" t="s">
        <v>97</v>
      </c>
    </row>
    <row r="2" spans="1:10" s="254" customFormat="1" ht="15" customHeight="1" x14ac:dyDescent="0.8">
      <c r="A2" s="253" t="s">
        <v>1002</v>
      </c>
      <c r="B2" s="253" t="s">
        <v>453</v>
      </c>
      <c r="C2" s="253" t="s">
        <v>385</v>
      </c>
      <c r="D2" s="253" t="s">
        <v>8</v>
      </c>
      <c r="E2" s="253"/>
      <c r="F2" s="253"/>
      <c r="G2" s="259">
        <v>125</v>
      </c>
      <c r="H2" s="260"/>
      <c r="I2" s="260"/>
      <c r="J2" s="260">
        <f>SUM(G2:I2)</f>
        <v>125</v>
      </c>
    </row>
    <row r="3" spans="1:10" s="254" customFormat="1" ht="15" customHeight="1" x14ac:dyDescent="0.8">
      <c r="A3" s="253" t="s">
        <v>1002</v>
      </c>
      <c r="B3" s="253" t="s">
        <v>961</v>
      </c>
      <c r="C3" s="253" t="s">
        <v>20</v>
      </c>
      <c r="D3" s="253" t="s">
        <v>8</v>
      </c>
      <c r="E3" s="253" t="s">
        <v>384</v>
      </c>
      <c r="F3" s="253"/>
      <c r="G3" s="259">
        <v>125</v>
      </c>
      <c r="H3" s="260">
        <v>40</v>
      </c>
      <c r="I3" s="260"/>
      <c r="J3" s="260">
        <f t="shared" ref="J3:J33" si="0">SUM(G3:I3)</f>
        <v>165</v>
      </c>
    </row>
    <row r="4" spans="1:10" s="254" customFormat="1" ht="15" customHeight="1" x14ac:dyDescent="0.8">
      <c r="A4" s="253" t="s">
        <v>1002</v>
      </c>
      <c r="B4" s="253" t="s">
        <v>895</v>
      </c>
      <c r="C4" s="253" t="s">
        <v>385</v>
      </c>
      <c r="D4" s="253" t="s">
        <v>8</v>
      </c>
      <c r="E4" s="253" t="s">
        <v>384</v>
      </c>
      <c r="F4" s="253"/>
      <c r="G4" s="259">
        <v>125</v>
      </c>
      <c r="H4" s="260">
        <v>40</v>
      </c>
      <c r="I4" s="260"/>
      <c r="J4" s="260">
        <f t="shared" si="0"/>
        <v>165</v>
      </c>
    </row>
    <row r="5" spans="1:10" s="254" customFormat="1" ht="15" customHeight="1" x14ac:dyDescent="0.8">
      <c r="A5" s="253" t="s">
        <v>1002</v>
      </c>
      <c r="B5" s="253" t="s">
        <v>998</v>
      </c>
      <c r="C5" s="253" t="s">
        <v>24</v>
      </c>
      <c r="D5" s="253" t="s">
        <v>8</v>
      </c>
      <c r="E5" s="253" t="s">
        <v>384</v>
      </c>
      <c r="F5" s="253"/>
      <c r="G5" s="259">
        <v>125</v>
      </c>
      <c r="H5" s="260">
        <v>40</v>
      </c>
      <c r="I5" s="260"/>
      <c r="J5" s="260">
        <f t="shared" si="0"/>
        <v>165</v>
      </c>
    </row>
    <row r="6" spans="1:10" s="254" customFormat="1" ht="15" customHeight="1" x14ac:dyDescent="0.8">
      <c r="A6" s="253" t="s">
        <v>1002</v>
      </c>
      <c r="B6" s="253" t="s">
        <v>941</v>
      </c>
      <c r="C6" s="253" t="s">
        <v>20</v>
      </c>
      <c r="D6" s="253" t="s">
        <v>17</v>
      </c>
      <c r="E6" s="253" t="s">
        <v>384</v>
      </c>
      <c r="F6" s="253"/>
      <c r="G6" s="259">
        <v>105</v>
      </c>
      <c r="H6" s="260">
        <v>40</v>
      </c>
      <c r="I6" s="260"/>
      <c r="J6" s="260">
        <f t="shared" si="0"/>
        <v>145</v>
      </c>
    </row>
    <row r="7" spans="1:10" s="254" customFormat="1" ht="15" customHeight="1" x14ac:dyDescent="0.8">
      <c r="A7" s="253" t="s">
        <v>1002</v>
      </c>
      <c r="B7" s="253" t="s">
        <v>942</v>
      </c>
      <c r="C7" s="253" t="s">
        <v>20</v>
      </c>
      <c r="D7" s="253" t="s">
        <v>17</v>
      </c>
      <c r="E7" s="253" t="s">
        <v>384</v>
      </c>
      <c r="F7" s="253"/>
      <c r="G7" s="259">
        <v>105</v>
      </c>
      <c r="H7" s="260">
        <v>40</v>
      </c>
      <c r="I7" s="260"/>
      <c r="J7" s="260">
        <f t="shared" si="0"/>
        <v>145</v>
      </c>
    </row>
    <row r="8" spans="1:10" s="254" customFormat="1" ht="15" customHeight="1" x14ac:dyDescent="0.8">
      <c r="A8" s="253" t="s">
        <v>1002</v>
      </c>
      <c r="B8" s="253" t="s">
        <v>940</v>
      </c>
      <c r="C8" s="253" t="s">
        <v>20</v>
      </c>
      <c r="D8" s="253" t="s">
        <v>33</v>
      </c>
      <c r="E8" s="253"/>
      <c r="F8" s="253"/>
      <c r="G8" s="260">
        <v>85</v>
      </c>
      <c r="H8" s="260"/>
      <c r="I8" s="260"/>
      <c r="J8" s="260">
        <f t="shared" si="0"/>
        <v>85</v>
      </c>
    </row>
    <row r="9" spans="1:10" s="254" customFormat="1" ht="15" customHeight="1" x14ac:dyDescent="0.8">
      <c r="A9" s="253" t="s">
        <v>1002</v>
      </c>
      <c r="B9" s="253" t="s">
        <v>953</v>
      </c>
      <c r="C9" s="253" t="s">
        <v>385</v>
      </c>
      <c r="D9" s="253" t="s">
        <v>8</v>
      </c>
      <c r="E9" s="253"/>
      <c r="F9" s="253"/>
      <c r="G9" s="259">
        <v>125</v>
      </c>
      <c r="H9" s="260"/>
      <c r="I9" s="260"/>
      <c r="J9" s="260">
        <f t="shared" si="0"/>
        <v>125</v>
      </c>
    </row>
    <row r="10" spans="1:10" s="254" customFormat="1" ht="15" customHeight="1" x14ac:dyDescent="0.8">
      <c r="A10" s="253" t="s">
        <v>1002</v>
      </c>
      <c r="B10" s="253" t="s">
        <v>938</v>
      </c>
      <c r="C10" s="253" t="s">
        <v>20</v>
      </c>
      <c r="D10" s="253" t="s">
        <v>17</v>
      </c>
      <c r="E10" s="253" t="s">
        <v>384</v>
      </c>
      <c r="F10" s="253"/>
      <c r="G10" s="259">
        <v>105</v>
      </c>
      <c r="H10" s="260">
        <v>40</v>
      </c>
      <c r="I10" s="260"/>
      <c r="J10" s="260">
        <f t="shared" si="0"/>
        <v>145</v>
      </c>
    </row>
    <row r="11" spans="1:10" s="254" customFormat="1" ht="15" customHeight="1" x14ac:dyDescent="0.8">
      <c r="A11" s="253" t="s">
        <v>1002</v>
      </c>
      <c r="B11" s="253" t="s">
        <v>955</v>
      </c>
      <c r="C11" s="253" t="s">
        <v>24</v>
      </c>
      <c r="D11" s="253" t="s">
        <v>8</v>
      </c>
      <c r="E11" s="253" t="s">
        <v>384</v>
      </c>
      <c r="F11" s="253"/>
      <c r="G11" s="259">
        <v>125</v>
      </c>
      <c r="H11" s="260">
        <v>40</v>
      </c>
      <c r="I11" s="260"/>
      <c r="J11" s="260">
        <f t="shared" si="0"/>
        <v>165</v>
      </c>
    </row>
    <row r="12" spans="1:10" s="254" customFormat="1" ht="15" customHeight="1" x14ac:dyDescent="0.8">
      <c r="A12" s="253" t="s">
        <v>1002</v>
      </c>
      <c r="B12" s="253" t="s">
        <v>937</v>
      </c>
      <c r="C12" s="253" t="s">
        <v>20</v>
      </c>
      <c r="D12" s="253" t="s">
        <v>33</v>
      </c>
      <c r="E12" s="253"/>
      <c r="F12" s="253"/>
      <c r="G12" s="260">
        <v>85</v>
      </c>
      <c r="H12" s="260"/>
      <c r="I12" s="260"/>
      <c r="J12" s="260">
        <f t="shared" si="0"/>
        <v>85</v>
      </c>
    </row>
    <row r="13" spans="1:10" s="254" customFormat="1" ht="15" customHeight="1" x14ac:dyDescent="0.8">
      <c r="A13" s="253" t="s">
        <v>1002</v>
      </c>
      <c r="B13" s="253" t="s">
        <v>963</v>
      </c>
      <c r="C13" s="253" t="s">
        <v>385</v>
      </c>
      <c r="D13" s="253" t="s">
        <v>8</v>
      </c>
      <c r="E13" s="253"/>
      <c r="F13" s="253"/>
      <c r="G13" s="259">
        <v>125</v>
      </c>
      <c r="H13" s="260"/>
      <c r="I13" s="260"/>
      <c r="J13" s="260">
        <f t="shared" si="0"/>
        <v>125</v>
      </c>
    </row>
    <row r="14" spans="1:10" s="254" customFormat="1" ht="15" customHeight="1" x14ac:dyDescent="0.8">
      <c r="A14" s="253" t="s">
        <v>1002</v>
      </c>
      <c r="B14" s="253" t="s">
        <v>949</v>
      </c>
      <c r="C14" s="253" t="s">
        <v>24</v>
      </c>
      <c r="D14" s="253" t="s">
        <v>15</v>
      </c>
      <c r="E14" s="253"/>
      <c r="F14" s="253"/>
      <c r="G14" s="260">
        <v>40</v>
      </c>
      <c r="H14" s="260"/>
      <c r="I14" s="260"/>
      <c r="J14" s="260">
        <f t="shared" si="0"/>
        <v>40</v>
      </c>
    </row>
    <row r="15" spans="1:10" s="254" customFormat="1" ht="15" customHeight="1" x14ac:dyDescent="0.8">
      <c r="A15" s="253" t="s">
        <v>1002</v>
      </c>
      <c r="B15" s="253" t="s">
        <v>944</v>
      </c>
      <c r="C15" s="253" t="s">
        <v>20</v>
      </c>
      <c r="D15" s="253" t="s">
        <v>31</v>
      </c>
      <c r="E15" s="253" t="s">
        <v>384</v>
      </c>
      <c r="F15" s="253"/>
      <c r="G15" s="259">
        <v>125</v>
      </c>
      <c r="H15" s="260">
        <v>40</v>
      </c>
      <c r="I15" s="260"/>
      <c r="J15" s="260">
        <f t="shared" si="0"/>
        <v>165</v>
      </c>
    </row>
    <row r="16" spans="1:10" s="254" customFormat="1" ht="15" customHeight="1" x14ac:dyDescent="0.8">
      <c r="A16" s="253" t="s">
        <v>1002</v>
      </c>
      <c r="B16" s="253" t="s">
        <v>999</v>
      </c>
      <c r="C16" s="253" t="s">
        <v>24</v>
      </c>
      <c r="D16" s="253" t="s">
        <v>17</v>
      </c>
      <c r="E16" s="253" t="s">
        <v>384</v>
      </c>
      <c r="F16" s="253"/>
      <c r="G16" s="259">
        <v>105</v>
      </c>
      <c r="H16" s="260">
        <v>40</v>
      </c>
      <c r="I16" s="260"/>
      <c r="J16" s="260">
        <f t="shared" si="0"/>
        <v>145</v>
      </c>
    </row>
    <row r="17" spans="1:10" s="254" customFormat="1" ht="15" customHeight="1" x14ac:dyDescent="0.8">
      <c r="A17" s="253" t="s">
        <v>1002</v>
      </c>
      <c r="B17" s="253" t="s">
        <v>753</v>
      </c>
      <c r="C17" s="253" t="s">
        <v>385</v>
      </c>
      <c r="D17" s="253" t="s">
        <v>8</v>
      </c>
      <c r="E17" s="261" t="s">
        <v>21</v>
      </c>
      <c r="F17" s="253"/>
      <c r="G17" s="259">
        <v>125</v>
      </c>
      <c r="H17" s="260">
        <v>45</v>
      </c>
      <c r="I17" s="260"/>
      <c r="J17" s="260">
        <f t="shared" si="0"/>
        <v>170</v>
      </c>
    </row>
    <row r="18" spans="1:10" s="254" customFormat="1" ht="15" customHeight="1" x14ac:dyDescent="0.8">
      <c r="A18" s="253" t="s">
        <v>1002</v>
      </c>
      <c r="B18" s="253" t="s">
        <v>930</v>
      </c>
      <c r="C18" s="253" t="s">
        <v>20</v>
      </c>
      <c r="D18" s="253" t="s">
        <v>33</v>
      </c>
      <c r="E18" s="253"/>
      <c r="F18" s="253"/>
      <c r="G18" s="260">
        <v>85</v>
      </c>
      <c r="H18" s="260"/>
      <c r="I18" s="260"/>
      <c r="J18" s="260">
        <f t="shared" si="0"/>
        <v>85</v>
      </c>
    </row>
    <row r="19" spans="1:10" s="254" customFormat="1" ht="15" customHeight="1" x14ac:dyDescent="0.8">
      <c r="A19" s="253" t="s">
        <v>1002</v>
      </c>
      <c r="B19" s="253" t="s">
        <v>969</v>
      </c>
      <c r="C19" s="253" t="s">
        <v>20</v>
      </c>
      <c r="D19" s="253" t="s">
        <v>8</v>
      </c>
      <c r="E19" s="253" t="s">
        <v>384</v>
      </c>
      <c r="F19" s="253"/>
      <c r="G19" s="259">
        <v>125</v>
      </c>
      <c r="H19" s="260">
        <v>40</v>
      </c>
      <c r="I19" s="260"/>
      <c r="J19" s="260">
        <f t="shared" si="0"/>
        <v>165</v>
      </c>
    </row>
    <row r="20" spans="1:10" s="254" customFormat="1" ht="15" customHeight="1" x14ac:dyDescent="0.8">
      <c r="A20" s="253" t="s">
        <v>1002</v>
      </c>
      <c r="B20" s="253" t="s">
        <v>972</v>
      </c>
      <c r="C20" s="253" t="s">
        <v>24</v>
      </c>
      <c r="D20" s="253" t="s">
        <v>8</v>
      </c>
      <c r="E20" s="253" t="s">
        <v>384</v>
      </c>
      <c r="F20" s="253"/>
      <c r="G20" s="259">
        <v>125</v>
      </c>
      <c r="H20" s="260">
        <v>40</v>
      </c>
      <c r="I20" s="260"/>
      <c r="J20" s="260">
        <f t="shared" si="0"/>
        <v>165</v>
      </c>
    </row>
    <row r="21" spans="1:10" s="254" customFormat="1" ht="15" customHeight="1" x14ac:dyDescent="0.8">
      <c r="A21" s="253" t="s">
        <v>1002</v>
      </c>
      <c r="B21" s="253" t="s">
        <v>957</v>
      </c>
      <c r="C21" s="253" t="s">
        <v>24</v>
      </c>
      <c r="D21" s="253" t="s">
        <v>8</v>
      </c>
      <c r="E21" s="253"/>
      <c r="F21" s="253"/>
      <c r="G21" s="260">
        <v>125</v>
      </c>
      <c r="H21" s="260"/>
      <c r="I21" s="260"/>
      <c r="J21" s="260">
        <f t="shared" si="0"/>
        <v>125</v>
      </c>
    </row>
    <row r="22" spans="1:10" s="254" customFormat="1" ht="15" customHeight="1" x14ac:dyDescent="0.8">
      <c r="A22" s="253" t="s">
        <v>1002</v>
      </c>
      <c r="B22" s="253" t="s">
        <v>956</v>
      </c>
      <c r="C22" s="253" t="s">
        <v>20</v>
      </c>
      <c r="D22" s="253" t="s">
        <v>8</v>
      </c>
      <c r="E22" s="253" t="s">
        <v>384</v>
      </c>
      <c r="F22" s="253"/>
      <c r="G22" s="259">
        <v>125</v>
      </c>
      <c r="H22" s="260">
        <v>40</v>
      </c>
      <c r="I22" s="260"/>
      <c r="J22" s="260">
        <f t="shared" si="0"/>
        <v>165</v>
      </c>
    </row>
    <row r="23" spans="1:10" s="254" customFormat="1" ht="15" customHeight="1" x14ac:dyDescent="0.8">
      <c r="A23" s="253" t="s">
        <v>1002</v>
      </c>
      <c r="B23" s="253" t="s">
        <v>948</v>
      </c>
      <c r="C23" s="253" t="s">
        <v>24</v>
      </c>
      <c r="D23" s="253" t="s">
        <v>8</v>
      </c>
      <c r="E23" s="253" t="s">
        <v>384</v>
      </c>
      <c r="F23" s="253"/>
      <c r="G23" s="259">
        <v>125</v>
      </c>
      <c r="H23" s="260">
        <v>40</v>
      </c>
      <c r="I23" s="260"/>
      <c r="J23" s="260">
        <f t="shared" si="0"/>
        <v>165</v>
      </c>
    </row>
    <row r="24" spans="1:10" s="254" customFormat="1" ht="15" customHeight="1" x14ac:dyDescent="0.8">
      <c r="A24" s="253" t="s">
        <v>1002</v>
      </c>
      <c r="B24" s="253" t="s">
        <v>936</v>
      </c>
      <c r="C24" s="253" t="s">
        <v>20</v>
      </c>
      <c r="D24" s="253" t="s">
        <v>33</v>
      </c>
      <c r="E24" s="253"/>
      <c r="F24" s="253"/>
      <c r="G24" s="259">
        <v>85</v>
      </c>
      <c r="H24" s="260"/>
      <c r="I24" s="260"/>
      <c r="J24" s="260">
        <f t="shared" si="0"/>
        <v>85</v>
      </c>
    </row>
    <row r="25" spans="1:10" s="254" customFormat="1" ht="16" x14ac:dyDescent="0.8">
      <c r="A25" s="253" t="s">
        <v>1002</v>
      </c>
      <c r="B25" s="253" t="s">
        <v>929</v>
      </c>
      <c r="C25" s="253" t="s">
        <v>365</v>
      </c>
      <c r="D25" s="253" t="s">
        <v>33</v>
      </c>
      <c r="E25" s="253"/>
      <c r="F25" s="253"/>
      <c r="G25" s="260">
        <v>85</v>
      </c>
      <c r="H25" s="260"/>
      <c r="I25" s="260"/>
      <c r="J25" s="260">
        <f t="shared" si="0"/>
        <v>85</v>
      </c>
    </row>
    <row r="26" spans="1:10" s="254" customFormat="1" ht="16" x14ac:dyDescent="0.8">
      <c r="A26" s="253" t="s">
        <v>1002</v>
      </c>
      <c r="B26" s="253" t="s">
        <v>950</v>
      </c>
      <c r="C26" s="253" t="s">
        <v>365</v>
      </c>
      <c r="D26" s="253" t="s">
        <v>33</v>
      </c>
      <c r="E26" s="253"/>
      <c r="F26" s="253"/>
      <c r="G26" s="260">
        <v>85</v>
      </c>
      <c r="H26" s="260"/>
      <c r="I26" s="260"/>
      <c r="J26" s="260">
        <f t="shared" si="0"/>
        <v>85</v>
      </c>
    </row>
    <row r="27" spans="1:10" s="254" customFormat="1" ht="16" x14ac:dyDescent="0.8">
      <c r="A27" s="253" t="s">
        <v>1002</v>
      </c>
      <c r="B27" s="253" t="s">
        <v>951</v>
      </c>
      <c r="C27" s="253" t="s">
        <v>365</v>
      </c>
      <c r="D27" s="253" t="s">
        <v>8</v>
      </c>
      <c r="E27" s="253"/>
      <c r="F27" s="253"/>
      <c r="G27" s="260">
        <v>125</v>
      </c>
      <c r="H27" s="260"/>
      <c r="I27" s="260"/>
      <c r="J27" s="260">
        <f t="shared" si="0"/>
        <v>125</v>
      </c>
    </row>
    <row r="28" spans="1:10" s="254" customFormat="1" ht="16" x14ac:dyDescent="0.8">
      <c r="A28" s="253" t="s">
        <v>1002</v>
      </c>
      <c r="B28" s="253" t="s">
        <v>928</v>
      </c>
      <c r="C28" s="253" t="s">
        <v>7</v>
      </c>
      <c r="D28" s="253" t="s">
        <v>8</v>
      </c>
      <c r="E28" s="253" t="s">
        <v>384</v>
      </c>
      <c r="F28" s="253"/>
      <c r="G28" s="260">
        <v>125</v>
      </c>
      <c r="H28" s="260">
        <v>40</v>
      </c>
      <c r="I28" s="260"/>
      <c r="J28" s="260">
        <f t="shared" si="0"/>
        <v>165</v>
      </c>
    </row>
    <row r="29" spans="1:10" s="254" customFormat="1" ht="16" x14ac:dyDescent="0.8">
      <c r="A29" s="253" t="s">
        <v>1002</v>
      </c>
      <c r="B29" s="253" t="s">
        <v>926</v>
      </c>
      <c r="C29" s="253" t="s">
        <v>7</v>
      </c>
      <c r="D29" s="253" t="s">
        <v>15</v>
      </c>
      <c r="E29" s="253"/>
      <c r="F29" s="253"/>
      <c r="G29" s="260">
        <v>40</v>
      </c>
      <c r="H29" s="260"/>
      <c r="I29" s="260"/>
      <c r="J29" s="260">
        <f t="shared" si="0"/>
        <v>40</v>
      </c>
    </row>
    <row r="30" spans="1:10" s="254" customFormat="1" ht="16" x14ac:dyDescent="0.8">
      <c r="A30" s="253" t="s">
        <v>1002</v>
      </c>
      <c r="B30" s="253" t="s">
        <v>978</v>
      </c>
      <c r="C30" s="253" t="s">
        <v>7</v>
      </c>
      <c r="D30" s="253" t="s">
        <v>8</v>
      </c>
      <c r="E30" s="261" t="s">
        <v>21</v>
      </c>
      <c r="F30" s="253" t="s">
        <v>1003</v>
      </c>
      <c r="G30" s="260">
        <v>125</v>
      </c>
      <c r="H30" s="260">
        <v>90</v>
      </c>
      <c r="I30" s="260">
        <v>75</v>
      </c>
      <c r="J30" s="260">
        <f t="shared" si="0"/>
        <v>290</v>
      </c>
    </row>
    <row r="31" spans="1:10" s="254" customFormat="1" ht="16" x14ac:dyDescent="0.8">
      <c r="A31" s="253" t="s">
        <v>1002</v>
      </c>
      <c r="B31" s="253" t="s">
        <v>925</v>
      </c>
      <c r="C31" s="253" t="s">
        <v>7</v>
      </c>
      <c r="D31" s="253" t="s">
        <v>15</v>
      </c>
      <c r="E31" s="253"/>
      <c r="F31" s="253"/>
      <c r="G31" s="260">
        <v>40</v>
      </c>
      <c r="H31" s="260"/>
      <c r="I31" s="260"/>
      <c r="J31" s="260">
        <f t="shared" si="0"/>
        <v>40</v>
      </c>
    </row>
    <row r="32" spans="1:10" s="254" customFormat="1" ht="16" x14ac:dyDescent="0.8">
      <c r="A32" s="253" t="s">
        <v>1002</v>
      </c>
      <c r="B32" s="253" t="s">
        <v>954</v>
      </c>
      <c r="C32" s="253" t="s">
        <v>7</v>
      </c>
      <c r="D32" s="253" t="s">
        <v>17</v>
      </c>
      <c r="E32" s="253"/>
      <c r="F32" s="253"/>
      <c r="G32" s="260">
        <v>105</v>
      </c>
      <c r="H32" s="260"/>
      <c r="I32" s="260"/>
      <c r="J32" s="260">
        <f t="shared" si="0"/>
        <v>105</v>
      </c>
    </row>
    <row r="33" spans="1:10" s="254" customFormat="1" ht="16" x14ac:dyDescent="0.8">
      <c r="A33" s="253" t="s">
        <v>1002</v>
      </c>
      <c r="B33" s="253" t="s">
        <v>943</v>
      </c>
      <c r="C33" s="253" t="s">
        <v>7</v>
      </c>
      <c r="D33" s="253" t="s">
        <v>15</v>
      </c>
      <c r="E33" s="253"/>
      <c r="F33" s="253"/>
      <c r="G33" s="260">
        <v>40</v>
      </c>
      <c r="H33" s="260"/>
      <c r="I33" s="260"/>
      <c r="J33" s="260">
        <f t="shared" si="0"/>
        <v>40</v>
      </c>
    </row>
    <row r="34" spans="1:10" s="254" customFormat="1" ht="15" customHeight="1" x14ac:dyDescent="0.8">
      <c r="A34" s="253" t="s">
        <v>1004</v>
      </c>
      <c r="B34" s="253" t="s">
        <v>991</v>
      </c>
      <c r="C34" s="253" t="s">
        <v>24</v>
      </c>
      <c r="D34" s="253" t="s">
        <v>33</v>
      </c>
      <c r="E34" s="253"/>
      <c r="F34" s="253"/>
      <c r="G34" s="260">
        <v>85</v>
      </c>
      <c r="H34" s="260"/>
      <c r="I34" s="260"/>
      <c r="J34" s="260">
        <f>SUM(G34:I34)</f>
        <v>85</v>
      </c>
    </row>
    <row r="35" spans="1:10" s="254" customFormat="1" ht="15" customHeight="1" x14ac:dyDescent="0.8">
      <c r="A35" s="253" t="s">
        <v>1004</v>
      </c>
      <c r="B35" s="253" t="s">
        <v>974</v>
      </c>
      <c r="C35" s="253" t="s">
        <v>20</v>
      </c>
      <c r="D35" s="253" t="s">
        <v>33</v>
      </c>
      <c r="E35" s="253"/>
      <c r="F35" s="253"/>
      <c r="G35" s="259">
        <v>85</v>
      </c>
      <c r="H35" s="260"/>
      <c r="I35" s="260"/>
      <c r="J35" s="260">
        <f t="shared" ref="J35:J47" si="1">SUM(G35:I35)</f>
        <v>85</v>
      </c>
    </row>
    <row r="36" spans="1:10" s="254" customFormat="1" ht="15" customHeight="1" x14ac:dyDescent="0.8">
      <c r="A36" s="253" t="s">
        <v>1004</v>
      </c>
      <c r="B36" s="253" t="s">
        <v>984</v>
      </c>
      <c r="C36" s="253" t="s">
        <v>20</v>
      </c>
      <c r="D36" s="253" t="s">
        <v>33</v>
      </c>
      <c r="E36" s="253"/>
      <c r="F36" s="253"/>
      <c r="G36" s="260">
        <v>85</v>
      </c>
      <c r="H36" s="260"/>
      <c r="I36" s="260"/>
      <c r="J36" s="260">
        <f t="shared" si="1"/>
        <v>85</v>
      </c>
    </row>
    <row r="37" spans="1:10" s="254" customFormat="1" ht="15" customHeight="1" x14ac:dyDescent="0.8">
      <c r="A37" s="253" t="s">
        <v>1004</v>
      </c>
      <c r="B37" s="253" t="s">
        <v>943</v>
      </c>
      <c r="C37" s="253" t="s">
        <v>24</v>
      </c>
      <c r="D37" s="253" t="s">
        <v>17</v>
      </c>
      <c r="E37" s="253" t="s">
        <v>384</v>
      </c>
      <c r="F37" s="253"/>
      <c r="G37" s="259">
        <v>105</v>
      </c>
      <c r="H37" s="260">
        <v>40</v>
      </c>
      <c r="I37" s="260"/>
      <c r="J37" s="260">
        <f t="shared" si="1"/>
        <v>145</v>
      </c>
    </row>
    <row r="38" spans="1:10" s="254" customFormat="1" ht="15" customHeight="1" x14ac:dyDescent="0.8">
      <c r="A38" s="253" t="s">
        <v>1004</v>
      </c>
      <c r="B38" s="253" t="s">
        <v>962</v>
      </c>
      <c r="C38" s="253" t="s">
        <v>20</v>
      </c>
      <c r="D38" s="253" t="s">
        <v>33</v>
      </c>
      <c r="E38" s="253" t="s">
        <v>384</v>
      </c>
      <c r="F38" s="253"/>
      <c r="G38" s="259">
        <v>85</v>
      </c>
      <c r="H38" s="260">
        <v>40</v>
      </c>
      <c r="I38" s="260"/>
      <c r="J38" s="260">
        <f t="shared" si="1"/>
        <v>125</v>
      </c>
    </row>
    <row r="39" spans="1:10" s="254" customFormat="1" ht="15" customHeight="1" x14ac:dyDescent="0.8">
      <c r="A39" s="253" t="s">
        <v>1004</v>
      </c>
      <c r="B39" s="253" t="s">
        <v>942</v>
      </c>
      <c r="C39" s="253" t="s">
        <v>20</v>
      </c>
      <c r="D39" s="253" t="s">
        <v>8</v>
      </c>
      <c r="E39" s="253" t="s">
        <v>21</v>
      </c>
      <c r="F39" s="253" t="s">
        <v>384</v>
      </c>
      <c r="G39" s="259">
        <v>125</v>
      </c>
      <c r="H39" s="260">
        <v>45</v>
      </c>
      <c r="I39" s="260"/>
      <c r="J39" s="260">
        <f t="shared" si="1"/>
        <v>170</v>
      </c>
    </row>
    <row r="40" spans="1:10" s="254" customFormat="1" ht="15" customHeight="1" x14ac:dyDescent="0.8">
      <c r="A40" s="253" t="s">
        <v>1004</v>
      </c>
      <c r="B40" s="253" t="s">
        <v>979</v>
      </c>
      <c r="C40" s="253" t="s">
        <v>20</v>
      </c>
      <c r="D40" s="253" t="s">
        <v>8</v>
      </c>
      <c r="E40" s="253" t="s">
        <v>21</v>
      </c>
      <c r="F40" s="253" t="s">
        <v>384</v>
      </c>
      <c r="G40" s="259">
        <v>125</v>
      </c>
      <c r="H40" s="260">
        <v>45</v>
      </c>
      <c r="I40" s="260"/>
      <c r="J40" s="260">
        <f t="shared" si="1"/>
        <v>170</v>
      </c>
    </row>
    <row r="41" spans="1:10" s="254" customFormat="1" ht="15" customHeight="1" x14ac:dyDescent="0.8">
      <c r="A41" s="253" t="s">
        <v>1004</v>
      </c>
      <c r="B41" s="253" t="s">
        <v>971</v>
      </c>
      <c r="C41" s="253" t="s">
        <v>24</v>
      </c>
      <c r="D41" s="253" t="s">
        <v>15</v>
      </c>
      <c r="E41" s="253"/>
      <c r="F41" s="253"/>
      <c r="G41" s="260">
        <v>40</v>
      </c>
      <c r="H41" s="260"/>
      <c r="I41" s="260"/>
      <c r="J41" s="260">
        <f t="shared" si="1"/>
        <v>40</v>
      </c>
    </row>
    <row r="42" spans="1:10" s="254" customFormat="1" ht="15" customHeight="1" x14ac:dyDescent="0.8">
      <c r="A42" s="253" t="s">
        <v>1004</v>
      </c>
      <c r="B42" s="253" t="s">
        <v>985</v>
      </c>
      <c r="C42" s="253" t="s">
        <v>385</v>
      </c>
      <c r="D42" s="253" t="s">
        <v>33</v>
      </c>
      <c r="E42" s="253"/>
      <c r="F42" s="253"/>
      <c r="G42" s="259">
        <v>85</v>
      </c>
      <c r="H42" s="260"/>
      <c r="I42" s="260"/>
      <c r="J42" s="260">
        <f t="shared" si="1"/>
        <v>85</v>
      </c>
    </row>
    <row r="43" spans="1:10" s="254" customFormat="1" ht="15" customHeight="1" x14ac:dyDescent="0.8">
      <c r="A43" s="253" t="s">
        <v>1004</v>
      </c>
      <c r="B43" s="253" t="s">
        <v>934</v>
      </c>
      <c r="C43" s="253" t="s">
        <v>24</v>
      </c>
      <c r="D43" s="253" t="s">
        <v>17</v>
      </c>
      <c r="E43" s="253" t="s">
        <v>384</v>
      </c>
      <c r="F43" s="253"/>
      <c r="G43" s="259">
        <v>105</v>
      </c>
      <c r="H43" s="260">
        <v>40</v>
      </c>
      <c r="I43" s="260"/>
      <c r="J43" s="260">
        <f t="shared" si="1"/>
        <v>145</v>
      </c>
    </row>
    <row r="44" spans="1:10" s="254" customFormat="1" ht="15" customHeight="1" x14ac:dyDescent="0.8">
      <c r="A44" s="253" t="s">
        <v>1004</v>
      </c>
      <c r="B44" s="253" t="s">
        <v>1001</v>
      </c>
      <c r="C44" s="253" t="s">
        <v>385</v>
      </c>
      <c r="D44" s="253" t="s">
        <v>15</v>
      </c>
      <c r="E44" s="253" t="s">
        <v>384</v>
      </c>
      <c r="F44" s="253"/>
      <c r="G44" s="259">
        <v>40</v>
      </c>
      <c r="H44" s="260">
        <v>40</v>
      </c>
      <c r="I44" s="260"/>
      <c r="J44" s="260">
        <f t="shared" si="1"/>
        <v>80</v>
      </c>
    </row>
    <row r="45" spans="1:10" s="254" customFormat="1" ht="15" customHeight="1" x14ac:dyDescent="0.8">
      <c r="A45" s="253" t="s">
        <v>1004</v>
      </c>
      <c r="B45" s="253" t="s">
        <v>965</v>
      </c>
      <c r="C45" s="253" t="s">
        <v>20</v>
      </c>
      <c r="D45" s="253" t="s">
        <v>33</v>
      </c>
      <c r="E45" s="253" t="s">
        <v>384</v>
      </c>
      <c r="F45" s="253"/>
      <c r="G45" s="259">
        <v>85</v>
      </c>
      <c r="H45" s="260">
        <v>40</v>
      </c>
      <c r="I45" s="260"/>
      <c r="J45" s="260">
        <f t="shared" si="1"/>
        <v>125</v>
      </c>
    </row>
    <row r="46" spans="1:10" s="254" customFormat="1" ht="15" customHeight="1" x14ac:dyDescent="0.8">
      <c r="A46" s="253" t="s">
        <v>1004</v>
      </c>
      <c r="B46" s="253" t="s">
        <v>945</v>
      </c>
      <c r="C46" s="253" t="s">
        <v>385</v>
      </c>
      <c r="D46" s="253" t="s">
        <v>8</v>
      </c>
      <c r="E46" s="253" t="s">
        <v>384</v>
      </c>
      <c r="F46" s="253"/>
      <c r="G46" s="259">
        <v>125</v>
      </c>
      <c r="H46" s="260">
        <v>40</v>
      </c>
      <c r="I46" s="260"/>
      <c r="J46" s="260">
        <f t="shared" si="1"/>
        <v>165</v>
      </c>
    </row>
    <row r="47" spans="1:10" s="254" customFormat="1" ht="15" customHeight="1" x14ac:dyDescent="0.8">
      <c r="A47" s="253" t="s">
        <v>1004</v>
      </c>
      <c r="B47" s="253" t="s">
        <v>947</v>
      </c>
      <c r="C47" s="253" t="s">
        <v>7</v>
      </c>
      <c r="D47" s="253" t="s">
        <v>8</v>
      </c>
      <c r="E47" s="253" t="s">
        <v>384</v>
      </c>
      <c r="F47" s="253"/>
      <c r="G47" s="259">
        <v>125</v>
      </c>
      <c r="H47" s="260">
        <v>40</v>
      </c>
      <c r="I47" s="260"/>
      <c r="J47" s="260">
        <f t="shared" si="1"/>
        <v>165</v>
      </c>
    </row>
    <row r="48" spans="1:10" s="254" customFormat="1" ht="15" customHeight="1" x14ac:dyDescent="0.8">
      <c r="A48" s="262" t="s">
        <v>1005</v>
      </c>
      <c r="B48" s="262" t="s">
        <v>939</v>
      </c>
      <c r="C48" s="262" t="s">
        <v>20</v>
      </c>
      <c r="D48" s="262" t="s">
        <v>30</v>
      </c>
      <c r="E48" s="262"/>
      <c r="F48" s="262"/>
      <c r="G48" s="258">
        <v>185</v>
      </c>
      <c r="H48" s="258"/>
      <c r="I48" s="258"/>
      <c r="J48" s="258">
        <f>SUM(G48:I48)</f>
        <v>185</v>
      </c>
    </row>
    <row r="49" spans="1:10" s="254" customFormat="1" ht="15" customHeight="1" x14ac:dyDescent="0.8">
      <c r="A49" s="262" t="s">
        <v>1005</v>
      </c>
      <c r="B49" s="262" t="s">
        <v>977</v>
      </c>
      <c r="C49" s="262" t="s">
        <v>385</v>
      </c>
      <c r="D49" s="262" t="s">
        <v>17</v>
      </c>
      <c r="E49" s="262"/>
      <c r="F49" s="262"/>
      <c r="G49" s="263">
        <v>105</v>
      </c>
      <c r="H49" s="258"/>
      <c r="I49" s="258"/>
      <c r="J49" s="258">
        <f t="shared" ref="J49:J62" si="2">SUM(G49:I49)</f>
        <v>105</v>
      </c>
    </row>
    <row r="50" spans="1:10" s="254" customFormat="1" ht="15" customHeight="1" x14ac:dyDescent="0.8">
      <c r="A50" s="262" t="s">
        <v>1005</v>
      </c>
      <c r="B50" s="262" t="s">
        <v>973</v>
      </c>
      <c r="C50" s="262" t="s">
        <v>20</v>
      </c>
      <c r="D50" s="262" t="s">
        <v>33</v>
      </c>
      <c r="E50" s="262"/>
      <c r="F50" s="262"/>
      <c r="G50" s="258">
        <v>85</v>
      </c>
      <c r="H50" s="258"/>
      <c r="I50" s="258"/>
      <c r="J50" s="258">
        <f t="shared" si="2"/>
        <v>85</v>
      </c>
    </row>
    <row r="51" spans="1:10" s="254" customFormat="1" ht="15" customHeight="1" x14ac:dyDescent="0.8">
      <c r="A51" s="262" t="s">
        <v>1005</v>
      </c>
      <c r="B51" s="262" t="s">
        <v>970</v>
      </c>
      <c r="C51" s="262" t="s">
        <v>20</v>
      </c>
      <c r="D51" s="262" t="s">
        <v>33</v>
      </c>
      <c r="E51" s="262"/>
      <c r="F51" s="262"/>
      <c r="G51" s="263">
        <v>85</v>
      </c>
      <c r="H51" s="258"/>
      <c r="I51" s="258"/>
      <c r="J51" s="258">
        <f t="shared" si="2"/>
        <v>85</v>
      </c>
    </row>
    <row r="52" spans="1:10" s="254" customFormat="1" ht="15" customHeight="1" x14ac:dyDescent="0.8">
      <c r="A52" s="262" t="s">
        <v>1005</v>
      </c>
      <c r="B52" s="262" t="s">
        <v>967</v>
      </c>
      <c r="C52" s="262" t="s">
        <v>385</v>
      </c>
      <c r="D52" s="262" t="s">
        <v>32</v>
      </c>
      <c r="E52" s="262" t="s">
        <v>384</v>
      </c>
      <c r="F52" s="262"/>
      <c r="G52" s="263">
        <v>155</v>
      </c>
      <c r="H52" s="258">
        <v>40</v>
      </c>
      <c r="I52" s="258"/>
      <c r="J52" s="258">
        <f t="shared" si="2"/>
        <v>195</v>
      </c>
    </row>
    <row r="53" spans="1:10" s="254" customFormat="1" ht="15" customHeight="1" x14ac:dyDescent="0.8">
      <c r="A53" s="262" t="s">
        <v>1005</v>
      </c>
      <c r="B53" s="262" t="s">
        <v>976</v>
      </c>
      <c r="C53" s="262" t="s">
        <v>24</v>
      </c>
      <c r="D53" s="262" t="s">
        <v>8</v>
      </c>
      <c r="E53" s="262"/>
      <c r="F53" s="262"/>
      <c r="G53" s="263">
        <v>125</v>
      </c>
      <c r="H53" s="258"/>
      <c r="I53" s="258"/>
      <c r="J53" s="258">
        <f t="shared" si="2"/>
        <v>125</v>
      </c>
    </row>
    <row r="54" spans="1:10" s="254" customFormat="1" ht="15" customHeight="1" x14ac:dyDescent="0.8">
      <c r="A54" s="262" t="s">
        <v>1005</v>
      </c>
      <c r="B54" s="262" t="s">
        <v>994</v>
      </c>
      <c r="C54" s="262" t="s">
        <v>385</v>
      </c>
      <c r="D54" s="262" t="s">
        <v>17</v>
      </c>
      <c r="E54" s="262" t="s">
        <v>384</v>
      </c>
      <c r="F54" s="262"/>
      <c r="G54" s="263">
        <v>105</v>
      </c>
      <c r="H54" s="258">
        <v>40</v>
      </c>
      <c r="I54" s="258"/>
      <c r="J54" s="258">
        <f t="shared" si="2"/>
        <v>145</v>
      </c>
    </row>
    <row r="55" spans="1:10" s="254" customFormat="1" ht="15" customHeight="1" x14ac:dyDescent="0.8">
      <c r="A55" s="262" t="s">
        <v>1005</v>
      </c>
      <c r="B55" s="262" t="s">
        <v>1000</v>
      </c>
      <c r="C55" s="262" t="s">
        <v>24</v>
      </c>
      <c r="D55" s="262" t="s">
        <v>33</v>
      </c>
      <c r="E55" s="262"/>
      <c r="F55" s="262"/>
      <c r="G55" s="258">
        <v>85</v>
      </c>
      <c r="H55" s="258"/>
      <c r="I55" s="258"/>
      <c r="J55" s="258">
        <f t="shared" si="2"/>
        <v>85</v>
      </c>
    </row>
    <row r="56" spans="1:10" s="254" customFormat="1" ht="15" customHeight="1" x14ac:dyDescent="0.8">
      <c r="A56" s="262" t="s">
        <v>1005</v>
      </c>
      <c r="B56" s="262" t="s">
        <v>983</v>
      </c>
      <c r="C56" s="262" t="s">
        <v>20</v>
      </c>
      <c r="D56" s="262" t="s">
        <v>17</v>
      </c>
      <c r="E56" s="262" t="s">
        <v>384</v>
      </c>
      <c r="F56" s="262"/>
      <c r="G56" s="263">
        <v>105</v>
      </c>
      <c r="H56" s="258">
        <v>40</v>
      </c>
      <c r="I56" s="258"/>
      <c r="J56" s="258">
        <f t="shared" si="2"/>
        <v>145</v>
      </c>
    </row>
    <row r="57" spans="1:10" s="254" customFormat="1" ht="15" customHeight="1" x14ac:dyDescent="0.8">
      <c r="A57" s="262" t="s">
        <v>1005</v>
      </c>
      <c r="B57" s="262" t="s">
        <v>980</v>
      </c>
      <c r="C57" s="262" t="s">
        <v>24</v>
      </c>
      <c r="D57" s="262" t="s">
        <v>8</v>
      </c>
      <c r="E57" s="262" t="s">
        <v>384</v>
      </c>
      <c r="F57" s="262"/>
      <c r="G57" s="263">
        <v>125</v>
      </c>
      <c r="H57" s="258">
        <v>40</v>
      </c>
      <c r="I57" s="258"/>
      <c r="J57" s="258">
        <f t="shared" si="2"/>
        <v>165</v>
      </c>
    </row>
    <row r="58" spans="1:10" s="254" customFormat="1" ht="15" customHeight="1" x14ac:dyDescent="0.8">
      <c r="A58" s="262" t="s">
        <v>1005</v>
      </c>
      <c r="B58" s="262" t="s">
        <v>992</v>
      </c>
      <c r="C58" s="262" t="s">
        <v>24</v>
      </c>
      <c r="D58" s="262" t="s">
        <v>33</v>
      </c>
      <c r="E58" s="262" t="s">
        <v>384</v>
      </c>
      <c r="F58" s="262"/>
      <c r="G58" s="263">
        <v>85</v>
      </c>
      <c r="H58" s="258">
        <v>40</v>
      </c>
      <c r="I58" s="258"/>
      <c r="J58" s="258">
        <f t="shared" si="2"/>
        <v>125</v>
      </c>
    </row>
    <row r="59" spans="1:10" s="254" customFormat="1" ht="15" customHeight="1" x14ac:dyDescent="0.8">
      <c r="A59" s="262" t="s">
        <v>1005</v>
      </c>
      <c r="B59" s="262" t="s">
        <v>952</v>
      </c>
      <c r="C59" s="262" t="s">
        <v>385</v>
      </c>
      <c r="D59" s="262" t="s">
        <v>8</v>
      </c>
      <c r="E59" s="261" t="s">
        <v>1006</v>
      </c>
      <c r="F59" s="262" t="s">
        <v>1007</v>
      </c>
      <c r="G59" s="263">
        <v>125</v>
      </c>
      <c r="H59" s="258">
        <v>45</v>
      </c>
      <c r="I59" s="258">
        <v>65</v>
      </c>
      <c r="J59" s="258">
        <f t="shared" si="2"/>
        <v>235</v>
      </c>
    </row>
    <row r="60" spans="1:10" s="254" customFormat="1" ht="15" customHeight="1" x14ac:dyDescent="0.8">
      <c r="A60" s="262" t="s">
        <v>1005</v>
      </c>
      <c r="B60" s="262" t="s">
        <v>958</v>
      </c>
      <c r="C60" s="262" t="s">
        <v>20</v>
      </c>
      <c r="D60" s="262" t="s">
        <v>8</v>
      </c>
      <c r="E60" s="262" t="s">
        <v>384</v>
      </c>
      <c r="F60" s="262"/>
      <c r="G60" s="263">
        <v>125</v>
      </c>
      <c r="H60" s="258">
        <v>40</v>
      </c>
      <c r="I60" s="258"/>
      <c r="J60" s="258">
        <f t="shared" si="2"/>
        <v>165</v>
      </c>
    </row>
    <row r="61" spans="1:10" s="254" customFormat="1" ht="15" customHeight="1" x14ac:dyDescent="0.8">
      <c r="A61" s="262" t="s">
        <v>1005</v>
      </c>
      <c r="B61" s="262" t="s">
        <v>968</v>
      </c>
      <c r="C61" s="262" t="s">
        <v>24</v>
      </c>
      <c r="D61" s="262" t="s">
        <v>8</v>
      </c>
      <c r="E61" s="262"/>
      <c r="F61" s="262"/>
      <c r="G61" s="263">
        <v>125</v>
      </c>
      <c r="H61" s="258"/>
      <c r="I61" s="258"/>
      <c r="J61" s="258">
        <f t="shared" si="2"/>
        <v>125</v>
      </c>
    </row>
    <row r="62" spans="1:10" s="254" customFormat="1" ht="16" x14ac:dyDescent="0.8">
      <c r="A62" s="262" t="s">
        <v>1005</v>
      </c>
      <c r="B62" s="262" t="s">
        <v>964</v>
      </c>
      <c r="C62" s="262" t="s">
        <v>24</v>
      </c>
      <c r="D62" s="262" t="s">
        <v>8</v>
      </c>
      <c r="E62" s="262"/>
      <c r="F62" s="262"/>
      <c r="G62" s="258">
        <v>125</v>
      </c>
      <c r="H62" s="258"/>
      <c r="I62" s="258"/>
      <c r="J62" s="258">
        <f t="shared" si="2"/>
        <v>125</v>
      </c>
    </row>
    <row r="63" spans="1:10" s="254" customFormat="1" ht="15" customHeight="1" x14ac:dyDescent="0.8">
      <c r="A63" s="253" t="s">
        <v>1008</v>
      </c>
      <c r="B63" s="253" t="s">
        <v>997</v>
      </c>
      <c r="C63" s="253" t="s">
        <v>20</v>
      </c>
      <c r="D63" s="253" t="s">
        <v>31</v>
      </c>
      <c r="E63" s="253" t="s">
        <v>384</v>
      </c>
      <c r="F63" s="253"/>
      <c r="G63" s="258">
        <v>125</v>
      </c>
      <c r="H63" s="258">
        <v>40</v>
      </c>
      <c r="I63" s="258"/>
      <c r="J63" s="258">
        <f>SUM(G63:I63)</f>
        <v>165</v>
      </c>
    </row>
    <row r="64" spans="1:10" s="254" customFormat="1" ht="15" customHeight="1" x14ac:dyDescent="0.8">
      <c r="A64" s="253" t="s">
        <v>1008</v>
      </c>
      <c r="B64" s="253" t="s">
        <v>946</v>
      </c>
      <c r="C64" s="253" t="s">
        <v>20</v>
      </c>
      <c r="D64" s="253" t="s">
        <v>30</v>
      </c>
      <c r="E64" s="253" t="s">
        <v>384</v>
      </c>
      <c r="F64" s="253"/>
      <c r="G64" s="263">
        <v>185</v>
      </c>
      <c r="H64" s="258">
        <v>40</v>
      </c>
      <c r="I64" s="258"/>
      <c r="J64" s="258">
        <f t="shared" ref="J64:J80" si="3">SUM(G64:I64)</f>
        <v>225</v>
      </c>
    </row>
    <row r="65" spans="1:10" s="254" customFormat="1" ht="15" customHeight="1" x14ac:dyDescent="0.8">
      <c r="A65" s="253" t="s">
        <v>1008</v>
      </c>
      <c r="B65" s="253" t="s">
        <v>995</v>
      </c>
      <c r="C65" s="253" t="s">
        <v>20</v>
      </c>
      <c r="D65" s="253" t="s">
        <v>33</v>
      </c>
      <c r="E65" s="253"/>
      <c r="F65" s="253"/>
      <c r="G65" s="258">
        <v>85</v>
      </c>
      <c r="H65" s="258"/>
      <c r="I65" s="258"/>
      <c r="J65" s="258">
        <f t="shared" si="3"/>
        <v>85</v>
      </c>
    </row>
    <row r="66" spans="1:10" s="254" customFormat="1" ht="15" customHeight="1" x14ac:dyDescent="0.8">
      <c r="A66" s="253" t="s">
        <v>1008</v>
      </c>
      <c r="B66" s="253" t="s">
        <v>880</v>
      </c>
      <c r="C66" s="253" t="s">
        <v>385</v>
      </c>
      <c r="D66" s="253" t="s">
        <v>8</v>
      </c>
      <c r="E66" s="253" t="s">
        <v>384</v>
      </c>
      <c r="F66" s="253" t="s">
        <v>21</v>
      </c>
      <c r="G66" s="263">
        <v>125</v>
      </c>
      <c r="H66" s="258">
        <v>40</v>
      </c>
      <c r="I66" s="258">
        <v>90</v>
      </c>
      <c r="J66" s="258">
        <f t="shared" si="3"/>
        <v>255</v>
      </c>
    </row>
    <row r="67" spans="1:10" s="254" customFormat="1" ht="15" customHeight="1" x14ac:dyDescent="0.8">
      <c r="A67" s="253" t="s">
        <v>1008</v>
      </c>
      <c r="B67" s="253" t="s">
        <v>982</v>
      </c>
      <c r="C67" s="253" t="s">
        <v>20</v>
      </c>
      <c r="D67" s="253" t="s">
        <v>30</v>
      </c>
      <c r="E67" s="253"/>
      <c r="F67" s="253"/>
      <c r="G67" s="263">
        <v>185</v>
      </c>
      <c r="H67" s="258"/>
      <c r="I67" s="258"/>
      <c r="J67" s="258">
        <f t="shared" si="3"/>
        <v>185</v>
      </c>
    </row>
    <row r="68" spans="1:10" s="254" customFormat="1" ht="15" customHeight="1" x14ac:dyDescent="0.8">
      <c r="A68" s="253" t="s">
        <v>1008</v>
      </c>
      <c r="B68" s="253" t="s">
        <v>993</v>
      </c>
      <c r="C68" s="253" t="s">
        <v>20</v>
      </c>
      <c r="D68" s="253" t="s">
        <v>33</v>
      </c>
      <c r="E68" s="253"/>
      <c r="F68" s="253"/>
      <c r="G68" s="263">
        <v>85</v>
      </c>
      <c r="H68" s="258"/>
      <c r="I68" s="258"/>
      <c r="J68" s="258">
        <f t="shared" si="3"/>
        <v>85</v>
      </c>
    </row>
    <row r="69" spans="1:10" s="254" customFormat="1" ht="15" customHeight="1" x14ac:dyDescent="0.8">
      <c r="A69" s="253" t="s">
        <v>1008</v>
      </c>
      <c r="B69" s="253" t="s">
        <v>988</v>
      </c>
      <c r="C69" s="253" t="s">
        <v>20</v>
      </c>
      <c r="D69" s="253" t="s">
        <v>17</v>
      </c>
      <c r="E69" s="253" t="s">
        <v>384</v>
      </c>
      <c r="F69" s="253"/>
      <c r="G69" s="263">
        <v>5</v>
      </c>
      <c r="H69" s="258">
        <v>40</v>
      </c>
      <c r="I69" s="258"/>
      <c r="J69" s="258">
        <f t="shared" si="3"/>
        <v>45</v>
      </c>
    </row>
    <row r="70" spans="1:10" s="254" customFormat="1" ht="15" customHeight="1" x14ac:dyDescent="0.8">
      <c r="A70" s="253" t="s">
        <v>1008</v>
      </c>
      <c r="B70" s="253" t="s">
        <v>975</v>
      </c>
      <c r="C70" s="253" t="s">
        <v>20</v>
      </c>
      <c r="D70" s="253" t="s">
        <v>33</v>
      </c>
      <c r="E70" s="253"/>
      <c r="F70" s="253"/>
      <c r="G70" s="258">
        <v>85</v>
      </c>
      <c r="H70" s="258"/>
      <c r="I70" s="258"/>
      <c r="J70" s="258">
        <f t="shared" si="3"/>
        <v>85</v>
      </c>
    </row>
    <row r="71" spans="1:10" s="254" customFormat="1" ht="15" customHeight="1" x14ac:dyDescent="0.8">
      <c r="A71" s="253" t="s">
        <v>1008</v>
      </c>
      <c r="B71" s="253" t="s">
        <v>989</v>
      </c>
      <c r="C71" s="253" t="s">
        <v>20</v>
      </c>
      <c r="D71" s="253" t="s">
        <v>8</v>
      </c>
      <c r="E71" s="253" t="s">
        <v>384</v>
      </c>
      <c r="F71" s="253"/>
      <c r="G71" s="263">
        <v>125</v>
      </c>
      <c r="H71" s="258">
        <v>40</v>
      </c>
      <c r="I71" s="258"/>
      <c r="J71" s="258">
        <f t="shared" si="3"/>
        <v>165</v>
      </c>
    </row>
    <row r="72" spans="1:10" s="254" customFormat="1" ht="15" customHeight="1" x14ac:dyDescent="0.8">
      <c r="A72" s="253" t="s">
        <v>1008</v>
      </c>
      <c r="B72" s="253" t="s">
        <v>987</v>
      </c>
      <c r="C72" s="253" t="s">
        <v>385</v>
      </c>
      <c r="D72" s="253" t="s">
        <v>32</v>
      </c>
      <c r="E72" s="253" t="s">
        <v>384</v>
      </c>
      <c r="F72" s="253"/>
      <c r="G72" s="263">
        <v>150</v>
      </c>
      <c r="H72" s="258">
        <v>40</v>
      </c>
      <c r="I72" s="258"/>
      <c r="J72" s="258">
        <f t="shared" si="3"/>
        <v>190</v>
      </c>
    </row>
    <row r="73" spans="1:10" s="254" customFormat="1" ht="15" customHeight="1" x14ac:dyDescent="0.8">
      <c r="A73" s="253" t="s">
        <v>1008</v>
      </c>
      <c r="B73" s="253" t="s">
        <v>966</v>
      </c>
      <c r="C73" s="253" t="s">
        <v>20</v>
      </c>
      <c r="D73" s="253" t="s">
        <v>33</v>
      </c>
      <c r="E73" s="253" t="s">
        <v>384</v>
      </c>
      <c r="F73" s="253"/>
      <c r="G73" s="263">
        <v>85</v>
      </c>
      <c r="H73" s="258">
        <v>40</v>
      </c>
      <c r="I73" s="258"/>
      <c r="J73" s="258">
        <f t="shared" si="3"/>
        <v>125</v>
      </c>
    </row>
    <row r="74" spans="1:10" s="254" customFormat="1" ht="15" customHeight="1" x14ac:dyDescent="0.8">
      <c r="A74" s="253" t="s">
        <v>1008</v>
      </c>
      <c r="B74" s="253" t="s">
        <v>935</v>
      </c>
      <c r="C74" s="253" t="s">
        <v>385</v>
      </c>
      <c r="D74" s="253" t="s">
        <v>8</v>
      </c>
      <c r="E74" s="253" t="s">
        <v>384</v>
      </c>
      <c r="F74" s="253"/>
      <c r="G74" s="263">
        <v>125</v>
      </c>
      <c r="H74" s="258">
        <v>40</v>
      </c>
      <c r="I74" s="258"/>
      <c r="J74" s="258">
        <f t="shared" si="3"/>
        <v>165</v>
      </c>
    </row>
    <row r="75" spans="1:10" s="254" customFormat="1" ht="15" customHeight="1" x14ac:dyDescent="0.8">
      <c r="A75" s="253" t="s">
        <v>1008</v>
      </c>
      <c r="B75" s="262" t="s">
        <v>981</v>
      </c>
      <c r="C75" s="262" t="s">
        <v>7</v>
      </c>
      <c r="D75" s="253" t="s">
        <v>8</v>
      </c>
      <c r="E75" s="253" t="s">
        <v>384</v>
      </c>
      <c r="F75" s="253" t="s">
        <v>21</v>
      </c>
      <c r="G75" s="263">
        <v>125</v>
      </c>
      <c r="H75" s="258">
        <v>40</v>
      </c>
      <c r="I75" s="258">
        <v>45</v>
      </c>
      <c r="J75" s="258">
        <f t="shared" si="3"/>
        <v>210</v>
      </c>
    </row>
    <row r="76" spans="1:10" s="254" customFormat="1" ht="15" customHeight="1" x14ac:dyDescent="0.8">
      <c r="A76" s="253" t="s">
        <v>1008</v>
      </c>
      <c r="B76" s="262" t="s">
        <v>932</v>
      </c>
      <c r="C76" s="262" t="s">
        <v>7</v>
      </c>
      <c r="D76" s="253" t="s">
        <v>8</v>
      </c>
      <c r="E76" s="262"/>
      <c r="F76" s="262"/>
      <c r="G76" s="263">
        <v>125</v>
      </c>
      <c r="H76" s="258"/>
      <c r="I76" s="258"/>
      <c r="J76" s="258">
        <f t="shared" si="3"/>
        <v>125</v>
      </c>
    </row>
    <row r="77" spans="1:10" s="254" customFormat="1" ht="16" x14ac:dyDescent="0.8">
      <c r="A77" s="253" t="s">
        <v>1008</v>
      </c>
      <c r="B77" s="262" t="s">
        <v>927</v>
      </c>
      <c r="C77" s="262" t="s">
        <v>7</v>
      </c>
      <c r="D77" s="253" t="s">
        <v>31</v>
      </c>
      <c r="E77" s="253" t="s">
        <v>384</v>
      </c>
      <c r="F77" s="262"/>
      <c r="G77" s="258">
        <v>125</v>
      </c>
      <c r="H77" s="258">
        <v>40</v>
      </c>
      <c r="I77" s="258"/>
      <c r="J77" s="258">
        <f t="shared" si="3"/>
        <v>165</v>
      </c>
    </row>
    <row r="78" spans="1:10" s="254" customFormat="1" ht="16" x14ac:dyDescent="0.8">
      <c r="A78" s="253" t="s">
        <v>1008</v>
      </c>
      <c r="B78" s="262" t="s">
        <v>933</v>
      </c>
      <c r="C78" s="262" t="s">
        <v>7</v>
      </c>
      <c r="D78" s="253" t="s">
        <v>8</v>
      </c>
      <c r="E78" s="253"/>
      <c r="F78" s="253"/>
      <c r="G78" s="260">
        <v>125</v>
      </c>
      <c r="H78" s="260"/>
      <c r="I78" s="253"/>
      <c r="J78" s="258">
        <f t="shared" si="3"/>
        <v>125</v>
      </c>
    </row>
    <row r="79" spans="1:10" s="254" customFormat="1" ht="16" x14ac:dyDescent="0.8">
      <c r="A79" s="253" t="s">
        <v>1008</v>
      </c>
      <c r="B79" s="262" t="s">
        <v>960</v>
      </c>
      <c r="C79" s="262" t="s">
        <v>365</v>
      </c>
      <c r="D79" s="253" t="s">
        <v>8</v>
      </c>
      <c r="E79" s="253" t="s">
        <v>384</v>
      </c>
      <c r="F79" s="253"/>
      <c r="G79" s="260">
        <v>125</v>
      </c>
      <c r="H79" s="260">
        <v>40</v>
      </c>
      <c r="I79" s="253"/>
      <c r="J79" s="258">
        <f t="shared" si="3"/>
        <v>165</v>
      </c>
    </row>
    <row r="80" spans="1:10" s="254" customFormat="1" ht="16" x14ac:dyDescent="0.8">
      <c r="A80" s="253" t="s">
        <v>1008</v>
      </c>
      <c r="B80" s="262" t="s">
        <v>931</v>
      </c>
      <c r="C80" s="262" t="s">
        <v>365</v>
      </c>
      <c r="D80" s="253" t="s">
        <v>33</v>
      </c>
      <c r="E80" s="253" t="s">
        <v>384</v>
      </c>
      <c r="F80" s="253"/>
      <c r="G80" s="260">
        <v>85</v>
      </c>
      <c r="H80" s="260">
        <v>40</v>
      </c>
      <c r="I80" s="253"/>
      <c r="J80" s="258">
        <f t="shared" si="3"/>
        <v>125</v>
      </c>
    </row>
    <row r="81" spans="1:10" s="254" customFormat="1" ht="15" customHeight="1" x14ac:dyDescent="0.8">
      <c r="A81" s="253" t="s">
        <v>1009</v>
      </c>
      <c r="B81" s="253" t="s">
        <v>996</v>
      </c>
      <c r="C81" s="253" t="s">
        <v>385</v>
      </c>
      <c r="D81" s="253" t="s">
        <v>8</v>
      </c>
      <c r="E81" s="253" t="s">
        <v>384</v>
      </c>
      <c r="F81" s="253"/>
      <c r="G81" s="258">
        <v>125</v>
      </c>
      <c r="H81" s="258">
        <v>40</v>
      </c>
      <c r="I81" s="258"/>
      <c r="J81" s="258">
        <f>SUM(G81:I81)</f>
        <v>165</v>
      </c>
    </row>
    <row r="82" spans="1:10" s="254" customFormat="1" ht="15" customHeight="1" x14ac:dyDescent="0.8">
      <c r="A82" s="253" t="s">
        <v>1009</v>
      </c>
      <c r="B82" s="253" t="s">
        <v>882</v>
      </c>
      <c r="C82" s="253" t="s">
        <v>385</v>
      </c>
      <c r="D82" s="253" t="s">
        <v>8</v>
      </c>
      <c r="E82" s="253" t="s">
        <v>384</v>
      </c>
      <c r="F82" s="253"/>
      <c r="G82" s="263">
        <v>125</v>
      </c>
      <c r="H82" s="258">
        <v>40</v>
      </c>
      <c r="I82" s="258"/>
      <c r="J82" s="258">
        <f t="shared" ref="J82:J86" si="4">SUM(G82:I82)</f>
        <v>165</v>
      </c>
    </row>
    <row r="83" spans="1:10" s="254" customFormat="1" ht="15" customHeight="1" x14ac:dyDescent="0.8">
      <c r="A83" s="253" t="s">
        <v>1009</v>
      </c>
      <c r="B83" s="253" t="s">
        <v>990</v>
      </c>
      <c r="C83" s="253" t="s">
        <v>385</v>
      </c>
      <c r="D83" s="253" t="s">
        <v>8</v>
      </c>
      <c r="E83" s="253" t="s">
        <v>384</v>
      </c>
      <c r="F83" s="253"/>
      <c r="G83" s="258">
        <v>125</v>
      </c>
      <c r="H83" s="258">
        <v>40</v>
      </c>
      <c r="I83" s="258"/>
      <c r="J83" s="258">
        <f t="shared" si="4"/>
        <v>165</v>
      </c>
    </row>
    <row r="84" spans="1:10" s="254" customFormat="1" ht="15" customHeight="1" x14ac:dyDescent="0.8">
      <c r="A84" s="253" t="s">
        <v>1009</v>
      </c>
      <c r="B84" s="253" t="s">
        <v>949</v>
      </c>
      <c r="C84" s="253" t="s">
        <v>20</v>
      </c>
      <c r="D84" s="253" t="s">
        <v>33</v>
      </c>
      <c r="E84" s="253"/>
      <c r="F84" s="253"/>
      <c r="G84" s="263">
        <v>85</v>
      </c>
      <c r="H84" s="258"/>
      <c r="I84" s="258"/>
      <c r="J84" s="258">
        <f t="shared" si="4"/>
        <v>85</v>
      </c>
    </row>
    <row r="85" spans="1:10" s="254" customFormat="1" ht="15" customHeight="1" x14ac:dyDescent="0.8">
      <c r="A85" s="253" t="s">
        <v>1009</v>
      </c>
      <c r="B85" s="253" t="s">
        <v>986</v>
      </c>
      <c r="C85" s="253" t="s">
        <v>20</v>
      </c>
      <c r="D85" s="253" t="s">
        <v>8</v>
      </c>
      <c r="E85" s="253" t="s">
        <v>384</v>
      </c>
      <c r="F85" s="253"/>
      <c r="G85" s="263">
        <v>125</v>
      </c>
      <c r="H85" s="258">
        <v>40</v>
      </c>
      <c r="I85" s="258"/>
      <c r="J85" s="258">
        <f t="shared" si="4"/>
        <v>165</v>
      </c>
    </row>
    <row r="86" spans="1:10" s="254" customFormat="1" ht="15" customHeight="1" x14ac:dyDescent="0.8">
      <c r="A86" s="253" t="s">
        <v>1009</v>
      </c>
      <c r="B86" s="253" t="s">
        <v>959</v>
      </c>
      <c r="C86" s="253" t="s">
        <v>20</v>
      </c>
      <c r="D86" s="253" t="s">
        <v>33</v>
      </c>
      <c r="E86" s="253" t="s">
        <v>384</v>
      </c>
      <c r="F86" s="253"/>
      <c r="G86" s="263">
        <v>85</v>
      </c>
      <c r="H86" s="258">
        <v>40</v>
      </c>
      <c r="I86" s="258"/>
      <c r="J86" s="258">
        <f t="shared" si="4"/>
        <v>125</v>
      </c>
    </row>
    <row r="87" spans="1:10" ht="15" customHeight="1" x14ac:dyDescent="0.75">
      <c r="J87" s="264">
        <f>SUM(J2:J86)</f>
        <v>11415</v>
      </c>
    </row>
  </sheetData>
  <conditionalFormatting sqref="B87:B1048576 B1">
    <cfRule type="duplicateValues" dxfId="57" priority="18"/>
    <cfRule type="duplicateValues" dxfId="56" priority="19"/>
  </conditionalFormatting>
  <conditionalFormatting sqref="B87:B1048576 B1">
    <cfRule type="duplicateValues" dxfId="55" priority="17"/>
  </conditionalFormatting>
  <conditionalFormatting sqref="B87:B1048576">
    <cfRule type="duplicateValues" dxfId="54" priority="16"/>
  </conditionalFormatting>
  <conditionalFormatting sqref="B87:B1048576">
    <cfRule type="duplicateValues" dxfId="53" priority="15"/>
  </conditionalFormatting>
  <conditionalFormatting sqref="B87:B1048576">
    <cfRule type="duplicateValues" dxfId="52" priority="14"/>
  </conditionalFormatting>
  <conditionalFormatting sqref="B87:B1048576">
    <cfRule type="duplicateValues" dxfId="51" priority="13"/>
  </conditionalFormatting>
  <conditionalFormatting sqref="B87:B1048576 B1">
    <cfRule type="duplicateValues" dxfId="50" priority="12"/>
  </conditionalFormatting>
  <conditionalFormatting sqref="B2:B33">
    <cfRule type="duplicateValues" dxfId="49" priority="10"/>
    <cfRule type="duplicateValues" dxfId="48" priority="11"/>
  </conditionalFormatting>
  <conditionalFormatting sqref="B34:B47">
    <cfRule type="duplicateValues" dxfId="47" priority="8"/>
    <cfRule type="duplicateValues" dxfId="46" priority="9"/>
  </conditionalFormatting>
  <conditionalFormatting sqref="B48:B62">
    <cfRule type="duplicateValues" dxfId="45" priority="6"/>
    <cfRule type="duplicateValues" dxfId="44" priority="7"/>
  </conditionalFormatting>
  <conditionalFormatting sqref="B63:B80">
    <cfRule type="duplicateValues" dxfId="43" priority="4"/>
    <cfRule type="duplicateValues" dxfId="42" priority="5"/>
  </conditionalFormatting>
  <conditionalFormatting sqref="B81:B86">
    <cfRule type="duplicateValues" dxfId="41" priority="2"/>
    <cfRule type="duplicateValues" dxfId="40" priority="3"/>
  </conditionalFormatting>
  <conditionalFormatting sqref="B1:B1048576">
    <cfRule type="duplicateValues" dxfId="39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67B9-DEF2-4A5B-AD93-B2BD80D6BC50}">
  <sheetPr>
    <tabColor rgb="FFFF0000"/>
  </sheetPr>
  <dimension ref="A1:G59"/>
  <sheetViews>
    <sheetView topLeftCell="C40" zoomScaleNormal="100" workbookViewId="0">
      <selection activeCell="D49" sqref="D49"/>
    </sheetView>
  </sheetViews>
  <sheetFormatPr defaultRowHeight="16" x14ac:dyDescent="0.8"/>
  <cols>
    <col min="1" max="1" width="14.1640625" bestFit="1" customWidth="1"/>
    <col min="2" max="2" width="21.33203125" bestFit="1" customWidth="1"/>
    <col min="3" max="4" width="18.5" bestFit="1" customWidth="1"/>
    <col min="5" max="5" width="11.20703125" bestFit="1" customWidth="1"/>
  </cols>
  <sheetData>
    <row r="1" spans="1:7" x14ac:dyDescent="0.8">
      <c r="A1" s="218" t="s">
        <v>86</v>
      </c>
      <c r="B1" s="219"/>
      <c r="C1" s="38" t="s">
        <v>88</v>
      </c>
      <c r="D1" s="223">
        <v>44752</v>
      </c>
      <c r="E1" s="224"/>
    </row>
    <row r="2" spans="1:7" x14ac:dyDescent="0.8">
      <c r="A2" s="218" t="s">
        <v>87</v>
      </c>
      <c r="B2" s="219"/>
      <c r="C2" s="38" t="s">
        <v>90</v>
      </c>
      <c r="D2" s="223">
        <v>44751</v>
      </c>
      <c r="E2" s="224"/>
      <c r="G2" s="44"/>
    </row>
    <row r="3" spans="1:7" x14ac:dyDescent="0.8">
      <c r="A3" s="218" t="s">
        <v>89</v>
      </c>
      <c r="B3" s="219"/>
      <c r="C3" s="38" t="s">
        <v>92</v>
      </c>
      <c r="D3" s="220">
        <v>41</v>
      </c>
      <c r="E3" s="221"/>
    </row>
    <row r="4" spans="1:7" x14ac:dyDescent="0.8">
      <c r="A4" s="218" t="s">
        <v>91</v>
      </c>
      <c r="B4" s="219"/>
      <c r="C4" s="38" t="s">
        <v>94</v>
      </c>
      <c r="D4" s="220" t="s">
        <v>95</v>
      </c>
      <c r="E4" s="221"/>
    </row>
    <row r="5" spans="1:7" x14ac:dyDescent="0.8">
      <c r="A5" s="218" t="s">
        <v>93</v>
      </c>
      <c r="B5" s="219"/>
      <c r="C5" s="38" t="s">
        <v>109</v>
      </c>
      <c r="D5" s="222">
        <f>GETPIVOTDATA("Sum of Total",$A$6)</f>
        <v>6785</v>
      </c>
      <c r="E5" s="222"/>
    </row>
    <row r="6" spans="1:7" s="44" customFormat="1" ht="14.9" customHeight="1" x14ac:dyDescent="0.8">
      <c r="A6" s="46" t="s">
        <v>103</v>
      </c>
      <c r="B6" s="45" t="s">
        <v>105</v>
      </c>
      <c r="C6" s="45" t="s">
        <v>106</v>
      </c>
      <c r="D6" s="45" t="s">
        <v>107</v>
      </c>
      <c r="E6" s="45" t="s">
        <v>108</v>
      </c>
    </row>
    <row r="7" spans="1:7" x14ac:dyDescent="0.8">
      <c r="A7" s="37" t="s">
        <v>83</v>
      </c>
      <c r="B7" s="14">
        <v>105</v>
      </c>
      <c r="C7" s="14">
        <v>40</v>
      </c>
      <c r="D7" s="14"/>
      <c r="E7" s="14">
        <v>145</v>
      </c>
    </row>
    <row r="8" spans="1:7" x14ac:dyDescent="0.8">
      <c r="A8" s="37" t="s">
        <v>66</v>
      </c>
      <c r="B8" s="14">
        <v>125</v>
      </c>
      <c r="C8" s="14">
        <v>40</v>
      </c>
      <c r="D8" s="14"/>
      <c r="E8" s="14">
        <v>165</v>
      </c>
    </row>
    <row r="9" spans="1:7" x14ac:dyDescent="0.8">
      <c r="A9" s="37" t="s">
        <v>54</v>
      </c>
      <c r="B9" s="14">
        <v>125</v>
      </c>
      <c r="C9" s="14">
        <v>40</v>
      </c>
      <c r="D9" s="14"/>
      <c r="E9" s="14">
        <v>165</v>
      </c>
    </row>
    <row r="10" spans="1:7" x14ac:dyDescent="0.8">
      <c r="A10" s="37" t="s">
        <v>19</v>
      </c>
      <c r="B10" s="14">
        <v>125</v>
      </c>
      <c r="C10" s="14">
        <v>45</v>
      </c>
      <c r="D10" s="14">
        <v>40</v>
      </c>
      <c r="E10" s="14">
        <v>210</v>
      </c>
    </row>
    <row r="11" spans="1:7" x14ac:dyDescent="0.8">
      <c r="A11" s="37" t="s">
        <v>72</v>
      </c>
      <c r="B11" s="14">
        <v>125</v>
      </c>
      <c r="C11" s="14"/>
      <c r="D11" s="14">
        <v>40</v>
      </c>
      <c r="E11" s="14">
        <v>165</v>
      </c>
    </row>
    <row r="12" spans="1:7" x14ac:dyDescent="0.8">
      <c r="A12" s="37" t="s">
        <v>63</v>
      </c>
      <c r="B12" s="14">
        <v>85</v>
      </c>
      <c r="C12" s="14">
        <v>40</v>
      </c>
      <c r="D12" s="14"/>
      <c r="E12" s="14">
        <v>125</v>
      </c>
    </row>
    <row r="13" spans="1:7" x14ac:dyDescent="0.8">
      <c r="A13" s="37" t="s">
        <v>23</v>
      </c>
      <c r="B13" s="14">
        <v>125</v>
      </c>
      <c r="C13" s="14">
        <v>40</v>
      </c>
      <c r="D13" s="14">
        <v>45</v>
      </c>
      <c r="E13" s="14">
        <v>210</v>
      </c>
    </row>
    <row r="14" spans="1:7" x14ac:dyDescent="0.8">
      <c r="A14" s="37" t="s">
        <v>85</v>
      </c>
      <c r="B14" s="14">
        <v>85</v>
      </c>
      <c r="C14" s="14">
        <v>40</v>
      </c>
      <c r="D14" s="14"/>
      <c r="E14" s="14">
        <v>125</v>
      </c>
    </row>
    <row r="15" spans="1:7" x14ac:dyDescent="0.8">
      <c r="A15" s="37" t="s">
        <v>81</v>
      </c>
      <c r="B15" s="14">
        <v>125</v>
      </c>
      <c r="C15" s="14"/>
      <c r="D15" s="14"/>
      <c r="E15" s="14">
        <v>125</v>
      </c>
    </row>
    <row r="16" spans="1:7" x14ac:dyDescent="0.8">
      <c r="A16" s="37" t="s">
        <v>58</v>
      </c>
      <c r="B16" s="14">
        <v>40</v>
      </c>
      <c r="C16" s="14"/>
      <c r="D16" s="14"/>
      <c r="E16" s="14">
        <v>40</v>
      </c>
    </row>
    <row r="17" spans="1:5" x14ac:dyDescent="0.8">
      <c r="A17" s="37" t="s">
        <v>80</v>
      </c>
      <c r="B17" s="14">
        <v>55</v>
      </c>
      <c r="C17" s="14"/>
      <c r="D17" s="14"/>
      <c r="E17" s="14">
        <v>55</v>
      </c>
    </row>
    <row r="18" spans="1:5" x14ac:dyDescent="0.8">
      <c r="A18" s="37" t="s">
        <v>56</v>
      </c>
      <c r="B18" s="14">
        <v>40</v>
      </c>
      <c r="C18" s="14"/>
      <c r="D18" s="14"/>
      <c r="E18" s="14">
        <v>40</v>
      </c>
    </row>
    <row r="19" spans="1:5" x14ac:dyDescent="0.8">
      <c r="A19" s="37" t="s">
        <v>55</v>
      </c>
      <c r="B19" s="14">
        <v>125</v>
      </c>
      <c r="C19" s="14">
        <v>40</v>
      </c>
      <c r="D19" s="14"/>
      <c r="E19" s="14">
        <v>165</v>
      </c>
    </row>
    <row r="20" spans="1:5" x14ac:dyDescent="0.8">
      <c r="A20" s="37" t="s">
        <v>22</v>
      </c>
      <c r="B20" s="14">
        <v>125</v>
      </c>
      <c r="C20" s="14"/>
      <c r="D20" s="14">
        <v>40</v>
      </c>
      <c r="E20" s="14">
        <v>165</v>
      </c>
    </row>
    <row r="21" spans="1:5" x14ac:dyDescent="0.8">
      <c r="A21" s="37" t="s">
        <v>50</v>
      </c>
      <c r="B21" s="14">
        <v>85</v>
      </c>
      <c r="C21" s="14">
        <v>40</v>
      </c>
      <c r="D21" s="14"/>
      <c r="E21" s="14">
        <v>125</v>
      </c>
    </row>
    <row r="22" spans="1:5" x14ac:dyDescent="0.8">
      <c r="A22" s="37" t="s">
        <v>53</v>
      </c>
      <c r="B22" s="14">
        <v>125</v>
      </c>
      <c r="C22" s="14"/>
      <c r="D22" s="14">
        <v>40</v>
      </c>
      <c r="E22" s="14">
        <v>165</v>
      </c>
    </row>
    <row r="23" spans="1:5" x14ac:dyDescent="0.8">
      <c r="A23" s="37" t="s">
        <v>6</v>
      </c>
      <c r="B23" s="14">
        <v>125</v>
      </c>
      <c r="C23" s="14">
        <v>40</v>
      </c>
      <c r="D23" s="14"/>
      <c r="E23" s="14">
        <v>165</v>
      </c>
    </row>
    <row r="24" spans="1:5" x14ac:dyDescent="0.8">
      <c r="A24" s="37" t="s">
        <v>64</v>
      </c>
      <c r="B24" s="14">
        <v>40</v>
      </c>
      <c r="C24" s="14"/>
      <c r="D24" s="14"/>
      <c r="E24" s="14">
        <v>40</v>
      </c>
    </row>
    <row r="25" spans="1:5" x14ac:dyDescent="0.8">
      <c r="A25" s="37" t="s">
        <v>14</v>
      </c>
      <c r="B25" s="14">
        <v>85</v>
      </c>
      <c r="C25" s="14">
        <v>40</v>
      </c>
      <c r="D25" s="14"/>
      <c r="E25" s="14">
        <v>125</v>
      </c>
    </row>
    <row r="26" spans="1:5" x14ac:dyDescent="0.8">
      <c r="A26" s="37" t="s">
        <v>76</v>
      </c>
      <c r="B26" s="14">
        <v>40</v>
      </c>
      <c r="C26" s="14"/>
      <c r="D26" s="14"/>
      <c r="E26" s="14">
        <v>40</v>
      </c>
    </row>
    <row r="27" spans="1:5" x14ac:dyDescent="0.8">
      <c r="A27" s="37" t="s">
        <v>25</v>
      </c>
      <c r="B27" s="14">
        <v>125</v>
      </c>
      <c r="C27" s="14">
        <v>40</v>
      </c>
      <c r="D27" s="14"/>
      <c r="E27" s="14">
        <v>165</v>
      </c>
    </row>
    <row r="28" spans="1:5" x14ac:dyDescent="0.8">
      <c r="A28" s="37" t="s">
        <v>27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11</v>
      </c>
      <c r="B29" s="14">
        <v>125</v>
      </c>
      <c r="C29" s="14"/>
      <c r="D29" s="14"/>
      <c r="E29" s="14">
        <v>125</v>
      </c>
    </row>
    <row r="30" spans="1:5" x14ac:dyDescent="0.8">
      <c r="A30" s="37" t="s">
        <v>70</v>
      </c>
      <c r="B30" s="14">
        <v>125</v>
      </c>
      <c r="C30" s="14">
        <v>45</v>
      </c>
      <c r="D30" s="14">
        <v>40</v>
      </c>
      <c r="E30" s="14">
        <v>210</v>
      </c>
    </row>
    <row r="31" spans="1:5" x14ac:dyDescent="0.8">
      <c r="A31" s="37" t="s">
        <v>26</v>
      </c>
      <c r="B31" s="14">
        <v>125</v>
      </c>
      <c r="C31" s="14">
        <v>40</v>
      </c>
      <c r="D31" s="14"/>
      <c r="E31" s="14">
        <v>165</v>
      </c>
    </row>
    <row r="32" spans="1:5" x14ac:dyDescent="0.8">
      <c r="A32" s="37" t="s">
        <v>12</v>
      </c>
      <c r="B32" s="14">
        <v>125</v>
      </c>
      <c r="C32" s="14">
        <v>40</v>
      </c>
      <c r="D32" s="14"/>
      <c r="E32" s="14">
        <v>165</v>
      </c>
    </row>
    <row r="33" spans="1:5" x14ac:dyDescent="0.8">
      <c r="A33" s="37" t="s">
        <v>67</v>
      </c>
      <c r="B33" s="14">
        <v>85</v>
      </c>
      <c r="C33" s="14">
        <v>40</v>
      </c>
      <c r="D33" s="14"/>
      <c r="E33" s="14">
        <v>125</v>
      </c>
    </row>
    <row r="34" spans="1:5" x14ac:dyDescent="0.8">
      <c r="A34" s="37" t="s">
        <v>48</v>
      </c>
      <c r="B34" s="14">
        <v>40</v>
      </c>
      <c r="C34" s="14"/>
      <c r="D34" s="14"/>
      <c r="E34" s="14">
        <v>40</v>
      </c>
    </row>
    <row r="35" spans="1:5" x14ac:dyDescent="0.8">
      <c r="A35" s="37" t="s">
        <v>62</v>
      </c>
      <c r="B35" s="14">
        <v>125</v>
      </c>
      <c r="C35" s="14"/>
      <c r="D35" s="14"/>
      <c r="E35" s="14">
        <v>125</v>
      </c>
    </row>
    <row r="36" spans="1:5" x14ac:dyDescent="0.8">
      <c r="A36" s="37" t="s">
        <v>68</v>
      </c>
      <c r="B36" s="14">
        <v>125</v>
      </c>
      <c r="C36" s="14"/>
      <c r="D36" s="14"/>
      <c r="E36" s="14">
        <v>125</v>
      </c>
    </row>
    <row r="37" spans="1:5" x14ac:dyDescent="0.8">
      <c r="A37" s="37" t="s">
        <v>69</v>
      </c>
      <c r="B37" s="14">
        <v>125</v>
      </c>
      <c r="C37" s="14">
        <v>40</v>
      </c>
      <c r="D37" s="14"/>
      <c r="E37" s="14">
        <v>165</v>
      </c>
    </row>
    <row r="38" spans="1:5" x14ac:dyDescent="0.8">
      <c r="A38" s="37" t="s">
        <v>101</v>
      </c>
      <c r="B38" s="14">
        <v>85</v>
      </c>
      <c r="C38" s="14"/>
      <c r="D38" s="14"/>
      <c r="E38" s="14">
        <v>85</v>
      </c>
    </row>
    <row r="39" spans="1:5" x14ac:dyDescent="0.8">
      <c r="A39" s="37" t="s">
        <v>102</v>
      </c>
      <c r="B39" s="14">
        <v>105</v>
      </c>
      <c r="C39" s="14"/>
      <c r="D39" s="14">
        <v>40</v>
      </c>
      <c r="E39" s="14">
        <v>145</v>
      </c>
    </row>
    <row r="40" spans="1:5" x14ac:dyDescent="0.8">
      <c r="A40" s="37" t="s">
        <v>74</v>
      </c>
      <c r="B40" s="14">
        <v>125</v>
      </c>
      <c r="C40" s="14">
        <v>40</v>
      </c>
      <c r="D40" s="14"/>
      <c r="E40" s="14">
        <v>165</v>
      </c>
    </row>
    <row r="41" spans="1:5" x14ac:dyDescent="0.8">
      <c r="A41" s="37" t="s">
        <v>57</v>
      </c>
      <c r="B41" s="14">
        <v>125</v>
      </c>
      <c r="C41" s="14">
        <v>45</v>
      </c>
      <c r="D41" s="14"/>
      <c r="E41" s="14">
        <v>170</v>
      </c>
    </row>
    <row r="42" spans="1:5" x14ac:dyDescent="0.8">
      <c r="A42" s="37" t="s">
        <v>13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37" t="s">
        <v>49</v>
      </c>
      <c r="B43" s="14">
        <v>125</v>
      </c>
      <c r="C43" s="14">
        <v>40</v>
      </c>
      <c r="D43" s="14"/>
      <c r="E43" s="14">
        <v>165</v>
      </c>
    </row>
    <row r="44" spans="1:5" x14ac:dyDescent="0.8">
      <c r="A44" s="37" t="s">
        <v>52</v>
      </c>
      <c r="B44" s="14">
        <v>40</v>
      </c>
      <c r="C44" s="14"/>
      <c r="D44" s="14"/>
      <c r="E44" s="14">
        <v>40</v>
      </c>
    </row>
    <row r="45" spans="1:5" x14ac:dyDescent="0.8">
      <c r="A45" s="37" t="s">
        <v>51</v>
      </c>
      <c r="B45" s="14">
        <v>125</v>
      </c>
      <c r="C45" s="14">
        <v>40</v>
      </c>
      <c r="D45" s="14"/>
      <c r="E45" s="14">
        <v>165</v>
      </c>
    </row>
    <row r="46" spans="1:5" x14ac:dyDescent="0.8">
      <c r="A46" s="37" t="s">
        <v>47</v>
      </c>
      <c r="B46" s="14">
        <v>105</v>
      </c>
      <c r="C46" s="14"/>
      <c r="D46" s="14">
        <v>40</v>
      </c>
      <c r="E46" s="14">
        <v>145</v>
      </c>
    </row>
    <row r="47" spans="1:5" x14ac:dyDescent="0.8">
      <c r="A47" s="37" t="s">
        <v>78</v>
      </c>
      <c r="B47" s="14">
        <v>125</v>
      </c>
      <c r="C47" s="14"/>
      <c r="D47" s="14">
        <v>40</v>
      </c>
      <c r="E47" s="14">
        <v>165</v>
      </c>
    </row>
    <row r="48" spans="1:5" x14ac:dyDescent="0.8">
      <c r="A48" s="37" t="s">
        <v>60</v>
      </c>
      <c r="B48" s="14">
        <v>125</v>
      </c>
      <c r="C48" s="14">
        <v>40</v>
      </c>
      <c r="D48" s="14"/>
      <c r="E48" s="14">
        <v>165</v>
      </c>
    </row>
    <row r="49" spans="1:5" x14ac:dyDescent="0.8">
      <c r="A49" s="37" t="s">
        <v>61</v>
      </c>
      <c r="B49" s="14">
        <v>85</v>
      </c>
      <c r="C49" s="14"/>
      <c r="D49" s="14">
        <v>40</v>
      </c>
      <c r="E49" s="14">
        <v>125</v>
      </c>
    </row>
    <row r="50" spans="1:5" x14ac:dyDescent="0.8">
      <c r="A50" s="37" t="s">
        <v>16</v>
      </c>
      <c r="B50" s="14">
        <v>105</v>
      </c>
      <c r="C50" s="14">
        <v>40</v>
      </c>
      <c r="D50" s="14"/>
      <c r="E50" s="14">
        <v>145</v>
      </c>
    </row>
    <row r="51" spans="1:5" x14ac:dyDescent="0.8">
      <c r="A51" s="37" t="s">
        <v>65</v>
      </c>
      <c r="B51" s="14">
        <v>125</v>
      </c>
      <c r="C51" s="14">
        <v>40</v>
      </c>
      <c r="D51" s="14"/>
      <c r="E51" s="14">
        <v>165</v>
      </c>
    </row>
    <row r="52" spans="1:5" x14ac:dyDescent="0.8">
      <c r="A52" s="37" t="s">
        <v>77</v>
      </c>
      <c r="B52" s="14">
        <v>105</v>
      </c>
      <c r="C52" s="14"/>
      <c r="D52" s="14"/>
      <c r="E52" s="14">
        <v>105</v>
      </c>
    </row>
    <row r="53" spans="1:5" x14ac:dyDescent="0.8">
      <c r="A53" s="37" t="s">
        <v>18</v>
      </c>
      <c r="B53" s="14">
        <v>105</v>
      </c>
      <c r="C53" s="14">
        <v>40</v>
      </c>
      <c r="D53" s="14"/>
      <c r="E53" s="14">
        <v>145</v>
      </c>
    </row>
    <row r="54" spans="1:5" x14ac:dyDescent="0.8">
      <c r="A54" s="37" t="s">
        <v>71</v>
      </c>
      <c r="B54" s="14">
        <v>105</v>
      </c>
      <c r="C54" s="14"/>
      <c r="D54" s="14">
        <v>40</v>
      </c>
      <c r="E54" s="14">
        <v>145</v>
      </c>
    </row>
    <row r="55" spans="1:5" x14ac:dyDescent="0.8">
      <c r="A55" s="37" t="s">
        <v>82</v>
      </c>
      <c r="B55" s="14">
        <v>40</v>
      </c>
      <c r="C55" s="14"/>
      <c r="D55" s="14"/>
      <c r="E55" s="14">
        <v>40</v>
      </c>
    </row>
    <row r="56" spans="1:5" x14ac:dyDescent="0.8">
      <c r="A56" s="37" t="s">
        <v>75</v>
      </c>
      <c r="B56" s="14">
        <v>125</v>
      </c>
      <c r="C56" s="14"/>
      <c r="D56" s="14"/>
      <c r="E56" s="14">
        <v>125</v>
      </c>
    </row>
    <row r="57" spans="1:5" x14ac:dyDescent="0.8">
      <c r="A57" s="37" t="s">
        <v>79</v>
      </c>
      <c r="B57" s="14">
        <v>40</v>
      </c>
      <c r="C57" s="14"/>
      <c r="D57" s="14"/>
      <c r="E57" s="14">
        <v>40</v>
      </c>
    </row>
    <row r="58" spans="1:5" x14ac:dyDescent="0.8">
      <c r="A58" s="37" t="s">
        <v>110</v>
      </c>
      <c r="B58" s="14">
        <v>40</v>
      </c>
      <c r="C58" s="14"/>
      <c r="D58" s="14"/>
      <c r="E58" s="14">
        <v>40</v>
      </c>
    </row>
    <row r="59" spans="1:5" x14ac:dyDescent="0.8">
      <c r="A59" s="37" t="s">
        <v>104</v>
      </c>
      <c r="B59" s="14">
        <v>5245</v>
      </c>
      <c r="C59" s="14">
        <v>1095</v>
      </c>
      <c r="D59" s="14">
        <v>445</v>
      </c>
      <c r="E59" s="14">
        <v>6785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38" priority="3"/>
    <cfRule type="duplicateValues" dxfId="37" priority="4"/>
  </conditionalFormatting>
  <conditionalFormatting sqref="A1:A5">
    <cfRule type="duplicateValues" dxfId="36" priority="2"/>
  </conditionalFormatting>
  <conditionalFormatting sqref="A1:A1048576">
    <cfRule type="duplicateValues" dxfId="35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2385-23E0-4C93-A6A1-9325E5D0BC8E}">
  <sheetPr>
    <tabColor rgb="FFFF0000"/>
    <pageSetUpPr fitToPage="1"/>
  </sheetPr>
  <dimension ref="A1:E89"/>
  <sheetViews>
    <sheetView topLeftCell="D68" workbookViewId="0">
      <selection activeCell="E89" activeCellId="1" sqref="A29 E89"/>
    </sheetView>
  </sheetViews>
  <sheetFormatPr defaultRowHeight="16" x14ac:dyDescent="0.8"/>
  <cols>
    <col min="1" max="1" width="14.125" bestFit="1" customWidth="1"/>
    <col min="2" max="2" width="22.5390625" bestFit="1" customWidth="1"/>
    <col min="3" max="4" width="19.70703125" bestFit="1" customWidth="1"/>
    <col min="5" max="5" width="12.45703125" bestFit="1" customWidth="1"/>
  </cols>
  <sheetData>
    <row r="1" spans="1:5" x14ac:dyDescent="0.8">
      <c r="A1" s="218" t="s">
        <v>86</v>
      </c>
      <c r="B1" s="219"/>
      <c r="C1" s="38" t="s">
        <v>88</v>
      </c>
      <c r="D1" s="223">
        <v>44752</v>
      </c>
      <c r="E1" s="224"/>
    </row>
    <row r="2" spans="1:5" x14ac:dyDescent="0.8">
      <c r="A2" s="218" t="s">
        <v>87</v>
      </c>
      <c r="B2" s="219"/>
      <c r="C2" s="38" t="s">
        <v>90</v>
      </c>
      <c r="D2" s="223">
        <v>44751</v>
      </c>
      <c r="E2" s="224"/>
    </row>
    <row r="3" spans="1:5" x14ac:dyDescent="0.8">
      <c r="A3" s="218" t="s">
        <v>89</v>
      </c>
      <c r="B3" s="219"/>
      <c r="C3" s="38" t="s">
        <v>92</v>
      </c>
      <c r="D3" s="220">
        <v>42</v>
      </c>
      <c r="E3" s="221"/>
    </row>
    <row r="4" spans="1:5" x14ac:dyDescent="0.8">
      <c r="A4" s="218" t="s">
        <v>91</v>
      </c>
      <c r="B4" s="219"/>
      <c r="C4" s="38" t="s">
        <v>94</v>
      </c>
      <c r="D4" s="220" t="s">
        <v>95</v>
      </c>
      <c r="E4" s="221"/>
    </row>
    <row r="5" spans="1:5" x14ac:dyDescent="0.8">
      <c r="A5" s="218" t="s">
        <v>93</v>
      </c>
      <c r="B5" s="219"/>
      <c r="C5" s="38" t="s">
        <v>109</v>
      </c>
      <c r="D5" s="222">
        <f>GETPIVOTDATA("Sum of Total",$A$6)</f>
        <v>10650</v>
      </c>
      <c r="E5" s="222"/>
    </row>
    <row r="6" spans="1:5" x14ac:dyDescent="0.8">
      <c r="A6" s="112" t="s">
        <v>103</v>
      </c>
      <c r="B6" s="14" t="s">
        <v>105</v>
      </c>
      <c r="C6" s="14" t="s">
        <v>106</v>
      </c>
      <c r="D6" s="14" t="s">
        <v>107</v>
      </c>
      <c r="E6" s="14" t="s">
        <v>108</v>
      </c>
    </row>
    <row r="7" spans="1:5" x14ac:dyDescent="0.8">
      <c r="A7" s="113" t="s">
        <v>190</v>
      </c>
      <c r="B7" s="14">
        <v>125</v>
      </c>
      <c r="C7" s="14"/>
      <c r="D7" s="14">
        <v>40</v>
      </c>
      <c r="E7" s="14">
        <v>165</v>
      </c>
    </row>
    <row r="8" spans="1:5" x14ac:dyDescent="0.8">
      <c r="A8" s="113" t="s">
        <v>189</v>
      </c>
      <c r="B8" s="14">
        <v>125</v>
      </c>
      <c r="C8" s="14"/>
      <c r="D8" s="14">
        <v>40</v>
      </c>
      <c r="E8" s="14">
        <v>165</v>
      </c>
    </row>
    <row r="9" spans="1:5" x14ac:dyDescent="0.8">
      <c r="A9" s="113" t="s">
        <v>188</v>
      </c>
      <c r="B9" s="14">
        <v>125</v>
      </c>
      <c r="C9" s="14"/>
      <c r="D9" s="14">
        <v>40</v>
      </c>
      <c r="E9" s="14">
        <v>165</v>
      </c>
    </row>
    <row r="10" spans="1:5" x14ac:dyDescent="0.8">
      <c r="A10" s="113" t="s">
        <v>187</v>
      </c>
      <c r="B10" s="14">
        <v>125</v>
      </c>
      <c r="C10" s="14">
        <v>40</v>
      </c>
      <c r="D10" s="14"/>
      <c r="E10" s="14">
        <v>165</v>
      </c>
    </row>
    <row r="11" spans="1:5" x14ac:dyDescent="0.8">
      <c r="A11" s="113" t="s">
        <v>186</v>
      </c>
      <c r="B11" s="14">
        <v>125</v>
      </c>
      <c r="C11" s="14">
        <v>40</v>
      </c>
      <c r="D11" s="14"/>
      <c r="E11" s="14">
        <v>165</v>
      </c>
    </row>
    <row r="12" spans="1:5" x14ac:dyDescent="0.8">
      <c r="A12" s="113" t="s">
        <v>185</v>
      </c>
      <c r="B12" s="14">
        <v>105</v>
      </c>
      <c r="C12" s="14">
        <v>40</v>
      </c>
      <c r="D12" s="14"/>
      <c r="E12" s="14">
        <v>145</v>
      </c>
    </row>
    <row r="13" spans="1:5" x14ac:dyDescent="0.8">
      <c r="A13" s="113" t="s">
        <v>64</v>
      </c>
      <c r="B13" s="14">
        <v>85</v>
      </c>
      <c r="C13" s="14">
        <v>40</v>
      </c>
      <c r="D13" s="14"/>
      <c r="E13" s="14">
        <v>125</v>
      </c>
    </row>
    <row r="14" spans="1:5" x14ac:dyDescent="0.8">
      <c r="A14" s="113" t="s">
        <v>76</v>
      </c>
      <c r="B14" s="14">
        <v>125</v>
      </c>
      <c r="C14" s="14">
        <v>40</v>
      </c>
      <c r="D14" s="14"/>
      <c r="E14" s="14">
        <v>165</v>
      </c>
    </row>
    <row r="15" spans="1:5" x14ac:dyDescent="0.8">
      <c r="A15" s="113" t="s">
        <v>184</v>
      </c>
      <c r="B15" s="14">
        <v>125</v>
      </c>
      <c r="C15" s="14">
        <v>45</v>
      </c>
      <c r="D15" s="14">
        <v>40</v>
      </c>
      <c r="E15" s="14">
        <v>210</v>
      </c>
    </row>
    <row r="16" spans="1:5" x14ac:dyDescent="0.8">
      <c r="A16" s="113" t="s">
        <v>183</v>
      </c>
      <c r="B16" s="14">
        <v>125</v>
      </c>
      <c r="C16" s="14">
        <v>40</v>
      </c>
      <c r="D16" s="14"/>
      <c r="E16" s="14">
        <v>165</v>
      </c>
    </row>
    <row r="17" spans="1:5" x14ac:dyDescent="0.8">
      <c r="A17" s="113" t="s">
        <v>182</v>
      </c>
      <c r="B17" s="14">
        <v>85</v>
      </c>
      <c r="C17" s="14"/>
      <c r="D17" s="14"/>
      <c r="E17" s="14">
        <v>85</v>
      </c>
    </row>
    <row r="18" spans="1:5" x14ac:dyDescent="0.8">
      <c r="A18" s="113" t="s">
        <v>181</v>
      </c>
      <c r="B18" s="14">
        <v>85</v>
      </c>
      <c r="C18" s="14"/>
      <c r="D18" s="14"/>
      <c r="E18" s="14">
        <v>85</v>
      </c>
    </row>
    <row r="19" spans="1:5" x14ac:dyDescent="0.8">
      <c r="A19" s="113" t="s">
        <v>180</v>
      </c>
      <c r="B19" s="14">
        <v>125</v>
      </c>
      <c r="C19" s="14">
        <v>40</v>
      </c>
      <c r="D19" s="14"/>
      <c r="E19" s="14">
        <v>165</v>
      </c>
    </row>
    <row r="20" spans="1:5" x14ac:dyDescent="0.8">
      <c r="A20" s="113" t="s">
        <v>179</v>
      </c>
      <c r="B20" s="14">
        <v>125</v>
      </c>
      <c r="C20" s="14">
        <v>40</v>
      </c>
      <c r="D20" s="14"/>
      <c r="E20" s="14">
        <v>165</v>
      </c>
    </row>
    <row r="21" spans="1:5" x14ac:dyDescent="0.8">
      <c r="A21" s="113" t="s">
        <v>178</v>
      </c>
      <c r="B21" s="14">
        <v>125</v>
      </c>
      <c r="C21" s="14">
        <v>40</v>
      </c>
      <c r="D21" s="14"/>
      <c r="E21" s="14">
        <v>165</v>
      </c>
    </row>
    <row r="22" spans="1:5" x14ac:dyDescent="0.8">
      <c r="A22" s="113" t="s">
        <v>177</v>
      </c>
      <c r="B22" s="14">
        <v>40</v>
      </c>
      <c r="C22" s="14"/>
      <c r="D22" s="14"/>
      <c r="E22" s="14">
        <v>40</v>
      </c>
    </row>
    <row r="23" spans="1:5" x14ac:dyDescent="0.8">
      <c r="A23" s="113" t="s">
        <v>176</v>
      </c>
      <c r="B23" s="14">
        <v>85</v>
      </c>
      <c r="C23" s="14">
        <v>40</v>
      </c>
      <c r="D23" s="14"/>
      <c r="E23" s="14">
        <v>125</v>
      </c>
    </row>
    <row r="24" spans="1:5" x14ac:dyDescent="0.8">
      <c r="A24" s="113" t="s">
        <v>175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113" t="s">
        <v>174</v>
      </c>
      <c r="B25" s="14">
        <v>125</v>
      </c>
      <c r="C25" s="14"/>
      <c r="D25" s="14">
        <v>40</v>
      </c>
      <c r="E25" s="14">
        <v>165</v>
      </c>
    </row>
    <row r="26" spans="1:5" x14ac:dyDescent="0.8">
      <c r="A26" s="113" t="s">
        <v>173</v>
      </c>
      <c r="B26" s="14">
        <v>85</v>
      </c>
      <c r="C26" s="14"/>
      <c r="D26" s="14"/>
      <c r="E26" s="14">
        <v>85</v>
      </c>
    </row>
    <row r="27" spans="1:5" x14ac:dyDescent="0.8">
      <c r="A27" s="113" t="s">
        <v>172</v>
      </c>
      <c r="B27" s="14">
        <v>105</v>
      </c>
      <c r="C27" s="14">
        <v>40</v>
      </c>
      <c r="D27" s="14"/>
      <c r="E27" s="14">
        <v>145</v>
      </c>
    </row>
    <row r="28" spans="1:5" x14ac:dyDescent="0.8">
      <c r="A28" s="113" t="s">
        <v>171</v>
      </c>
      <c r="B28" s="14">
        <v>105</v>
      </c>
      <c r="C28" s="14"/>
      <c r="D28" s="14"/>
      <c r="E28" s="14">
        <v>105</v>
      </c>
    </row>
    <row r="29" spans="1:5" x14ac:dyDescent="0.8">
      <c r="A29" s="113" t="s">
        <v>170</v>
      </c>
      <c r="B29" s="14">
        <v>125</v>
      </c>
      <c r="C29" s="14">
        <v>40</v>
      </c>
      <c r="D29" s="14"/>
      <c r="E29" s="14">
        <v>165</v>
      </c>
    </row>
    <row r="30" spans="1:5" x14ac:dyDescent="0.8">
      <c r="A30" s="113" t="s">
        <v>169</v>
      </c>
      <c r="B30" s="14">
        <v>125</v>
      </c>
      <c r="C30" s="14">
        <v>40</v>
      </c>
      <c r="D30" s="14"/>
      <c r="E30" s="14">
        <v>165</v>
      </c>
    </row>
    <row r="31" spans="1:5" x14ac:dyDescent="0.8">
      <c r="A31" s="113" t="s">
        <v>168</v>
      </c>
      <c r="B31" s="14">
        <v>125</v>
      </c>
      <c r="C31" s="14"/>
      <c r="D31" s="14"/>
      <c r="E31" s="14">
        <v>125</v>
      </c>
    </row>
    <row r="32" spans="1:5" x14ac:dyDescent="0.8">
      <c r="A32" s="113" t="s">
        <v>167</v>
      </c>
      <c r="B32" s="14">
        <v>125</v>
      </c>
      <c r="C32" s="14">
        <v>40</v>
      </c>
      <c r="D32" s="14"/>
      <c r="E32" s="14">
        <v>165</v>
      </c>
    </row>
    <row r="33" spans="1:5" x14ac:dyDescent="0.8">
      <c r="A33" s="113" t="s">
        <v>166</v>
      </c>
      <c r="B33" s="14">
        <v>125</v>
      </c>
      <c r="C33" s="14"/>
      <c r="D33" s="14">
        <v>40</v>
      </c>
      <c r="E33" s="14">
        <v>165</v>
      </c>
    </row>
    <row r="34" spans="1:5" x14ac:dyDescent="0.8">
      <c r="A34" s="113" t="s">
        <v>165</v>
      </c>
      <c r="B34" s="14">
        <v>225</v>
      </c>
      <c r="C34" s="14"/>
      <c r="D34" s="14"/>
      <c r="E34" s="14">
        <v>225</v>
      </c>
    </row>
    <row r="35" spans="1:5" x14ac:dyDescent="0.8">
      <c r="A35" s="113" t="s">
        <v>164</v>
      </c>
      <c r="B35" s="14">
        <v>85</v>
      </c>
      <c r="C35" s="14"/>
      <c r="D35" s="14">
        <v>40</v>
      </c>
      <c r="E35" s="14">
        <v>125</v>
      </c>
    </row>
    <row r="36" spans="1:5" x14ac:dyDescent="0.8">
      <c r="A36" s="113" t="s">
        <v>163</v>
      </c>
      <c r="B36" s="14">
        <v>125</v>
      </c>
      <c r="C36" s="14">
        <v>40</v>
      </c>
      <c r="D36" s="14"/>
      <c r="E36" s="14">
        <v>165</v>
      </c>
    </row>
    <row r="37" spans="1:5" x14ac:dyDescent="0.8">
      <c r="A37" s="113" t="s">
        <v>162</v>
      </c>
      <c r="B37" s="14">
        <v>125</v>
      </c>
      <c r="C37" s="14">
        <v>40</v>
      </c>
      <c r="D37" s="14"/>
      <c r="E37" s="14">
        <v>165</v>
      </c>
    </row>
    <row r="38" spans="1:5" x14ac:dyDescent="0.8">
      <c r="A38" s="113" t="s">
        <v>161</v>
      </c>
      <c r="B38" s="14">
        <v>85</v>
      </c>
      <c r="C38" s="14"/>
      <c r="D38" s="14"/>
      <c r="E38" s="14">
        <v>85</v>
      </c>
    </row>
    <row r="39" spans="1:5" x14ac:dyDescent="0.8">
      <c r="A39" s="113" t="s">
        <v>160</v>
      </c>
      <c r="B39" s="14">
        <v>125</v>
      </c>
      <c r="C39" s="14">
        <v>40</v>
      </c>
      <c r="D39" s="14"/>
      <c r="E39" s="14">
        <v>165</v>
      </c>
    </row>
    <row r="40" spans="1:5" x14ac:dyDescent="0.8">
      <c r="A40" s="113" t="s">
        <v>159</v>
      </c>
      <c r="B40" s="14">
        <v>125</v>
      </c>
      <c r="C40" s="14">
        <v>40</v>
      </c>
      <c r="D40" s="14"/>
      <c r="E40" s="14">
        <v>165</v>
      </c>
    </row>
    <row r="41" spans="1:5" x14ac:dyDescent="0.8">
      <c r="A41" s="113" t="s">
        <v>158</v>
      </c>
      <c r="B41" s="14">
        <v>125</v>
      </c>
      <c r="C41" s="14">
        <v>40</v>
      </c>
      <c r="D41" s="14"/>
      <c r="E41" s="14">
        <v>165</v>
      </c>
    </row>
    <row r="42" spans="1:5" x14ac:dyDescent="0.8">
      <c r="A42" s="113" t="s">
        <v>157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113" t="s">
        <v>156</v>
      </c>
      <c r="B43" s="14">
        <v>125</v>
      </c>
      <c r="C43" s="14">
        <v>40</v>
      </c>
      <c r="D43" s="14"/>
      <c r="E43" s="14">
        <v>165</v>
      </c>
    </row>
    <row r="44" spans="1:5" x14ac:dyDescent="0.8">
      <c r="A44" s="113" t="s">
        <v>155</v>
      </c>
      <c r="B44" s="14">
        <v>85</v>
      </c>
      <c r="C44" s="14">
        <v>40</v>
      </c>
      <c r="D44" s="14"/>
      <c r="E44" s="14">
        <v>125</v>
      </c>
    </row>
    <row r="45" spans="1:5" x14ac:dyDescent="0.8">
      <c r="A45" s="113" t="s">
        <v>154</v>
      </c>
      <c r="B45" s="14">
        <v>85</v>
      </c>
      <c r="C45" s="14">
        <v>40</v>
      </c>
      <c r="D45" s="14"/>
      <c r="E45" s="14">
        <v>125</v>
      </c>
    </row>
    <row r="46" spans="1:5" x14ac:dyDescent="0.8">
      <c r="A46" s="113" t="s">
        <v>153</v>
      </c>
      <c r="B46" s="14">
        <v>125</v>
      </c>
      <c r="C46" s="14">
        <v>40</v>
      </c>
      <c r="D46" s="14"/>
      <c r="E46" s="14">
        <v>165</v>
      </c>
    </row>
    <row r="47" spans="1:5" x14ac:dyDescent="0.8">
      <c r="A47" s="113" t="s">
        <v>152</v>
      </c>
      <c r="B47" s="14">
        <v>105</v>
      </c>
      <c r="C47" s="14"/>
      <c r="D47" s="14"/>
      <c r="E47" s="14">
        <v>105</v>
      </c>
    </row>
    <row r="48" spans="1:5" x14ac:dyDescent="0.8">
      <c r="A48" s="113" t="s">
        <v>151</v>
      </c>
      <c r="B48" s="14">
        <v>125</v>
      </c>
      <c r="C48" s="14">
        <v>40</v>
      </c>
      <c r="D48" s="14"/>
      <c r="E48" s="14">
        <v>165</v>
      </c>
    </row>
    <row r="49" spans="1:5" x14ac:dyDescent="0.8">
      <c r="A49" s="113" t="s">
        <v>150</v>
      </c>
      <c r="B49" s="14">
        <v>40</v>
      </c>
      <c r="C49" s="14"/>
      <c r="D49" s="14"/>
      <c r="E49" s="14">
        <v>40</v>
      </c>
    </row>
    <row r="50" spans="1:5" x14ac:dyDescent="0.8">
      <c r="A50" s="113" t="s">
        <v>149</v>
      </c>
      <c r="B50" s="14">
        <v>125</v>
      </c>
      <c r="C50" s="14"/>
      <c r="D50" s="14">
        <v>40</v>
      </c>
      <c r="E50" s="14">
        <v>165</v>
      </c>
    </row>
    <row r="51" spans="1:5" x14ac:dyDescent="0.8">
      <c r="A51" s="113" t="s">
        <v>148</v>
      </c>
      <c r="B51" s="14">
        <v>125</v>
      </c>
      <c r="C51" s="14"/>
      <c r="D51" s="14"/>
      <c r="E51" s="14">
        <v>125</v>
      </c>
    </row>
    <row r="52" spans="1:5" x14ac:dyDescent="0.8">
      <c r="A52" s="113" t="s">
        <v>147</v>
      </c>
      <c r="B52" s="14">
        <v>85</v>
      </c>
      <c r="C52" s="14"/>
      <c r="D52" s="14">
        <v>40</v>
      </c>
      <c r="E52" s="14">
        <v>125</v>
      </c>
    </row>
    <row r="53" spans="1:5" x14ac:dyDescent="0.8">
      <c r="A53" s="113" t="s">
        <v>146</v>
      </c>
      <c r="B53" s="14">
        <v>125</v>
      </c>
      <c r="C53" s="14">
        <v>40</v>
      </c>
      <c r="D53" s="14"/>
      <c r="E53" s="14">
        <v>165</v>
      </c>
    </row>
    <row r="54" spans="1:5" x14ac:dyDescent="0.8">
      <c r="A54" s="113" t="s">
        <v>145</v>
      </c>
      <c r="B54" s="14">
        <v>85</v>
      </c>
      <c r="C54" s="14"/>
      <c r="D54" s="14"/>
      <c r="E54" s="14">
        <v>85</v>
      </c>
    </row>
    <row r="55" spans="1:5" x14ac:dyDescent="0.8">
      <c r="A55" s="113" t="s">
        <v>144</v>
      </c>
      <c r="B55" s="14">
        <v>40</v>
      </c>
      <c r="C55" s="14"/>
      <c r="D55" s="14"/>
      <c r="E55" s="14">
        <v>40</v>
      </c>
    </row>
    <row r="56" spans="1:5" x14ac:dyDescent="0.8">
      <c r="A56" s="113" t="s">
        <v>143</v>
      </c>
      <c r="B56" s="14">
        <v>85</v>
      </c>
      <c r="C56" s="14"/>
      <c r="D56" s="14"/>
      <c r="E56" s="14">
        <v>85</v>
      </c>
    </row>
    <row r="57" spans="1:5" x14ac:dyDescent="0.8">
      <c r="A57" s="113" t="s">
        <v>142</v>
      </c>
      <c r="B57" s="14">
        <v>40</v>
      </c>
      <c r="C57" s="14"/>
      <c r="D57" s="14"/>
      <c r="E57" s="14">
        <v>40</v>
      </c>
    </row>
    <row r="58" spans="1:5" x14ac:dyDescent="0.8">
      <c r="A58" s="113" t="s">
        <v>141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113" t="s">
        <v>140</v>
      </c>
      <c r="B59" s="14">
        <v>85</v>
      </c>
      <c r="C59" s="14"/>
      <c r="D59" s="14"/>
      <c r="E59" s="14">
        <v>85</v>
      </c>
    </row>
    <row r="60" spans="1:5" x14ac:dyDescent="0.8">
      <c r="A60" s="113" t="s">
        <v>139</v>
      </c>
      <c r="B60" s="14">
        <v>85</v>
      </c>
      <c r="C60" s="14"/>
      <c r="D60" s="14"/>
      <c r="E60" s="14">
        <v>85</v>
      </c>
    </row>
    <row r="61" spans="1:5" x14ac:dyDescent="0.8">
      <c r="A61" s="113" t="s">
        <v>138</v>
      </c>
      <c r="B61" s="14">
        <v>125</v>
      </c>
      <c r="C61" s="14">
        <v>40</v>
      </c>
      <c r="D61" s="14"/>
      <c r="E61" s="14">
        <v>165</v>
      </c>
    </row>
    <row r="62" spans="1:5" x14ac:dyDescent="0.8">
      <c r="A62" s="113" t="s">
        <v>137</v>
      </c>
      <c r="B62" s="14">
        <v>85</v>
      </c>
      <c r="C62" s="14"/>
      <c r="D62" s="14"/>
      <c r="E62" s="14">
        <v>85</v>
      </c>
    </row>
    <row r="63" spans="1:5" x14ac:dyDescent="0.8">
      <c r="A63" s="113" t="s">
        <v>136</v>
      </c>
      <c r="B63" s="14">
        <v>85</v>
      </c>
      <c r="C63" s="14"/>
      <c r="D63" s="14"/>
      <c r="E63" s="14">
        <v>85</v>
      </c>
    </row>
    <row r="64" spans="1:5" x14ac:dyDescent="0.8">
      <c r="A64" s="113" t="s">
        <v>135</v>
      </c>
      <c r="B64" s="14">
        <v>105</v>
      </c>
      <c r="C64" s="14">
        <v>40</v>
      </c>
      <c r="D64" s="14"/>
      <c r="E64" s="14">
        <v>145</v>
      </c>
    </row>
    <row r="65" spans="1:5" x14ac:dyDescent="0.8">
      <c r="A65" s="113" t="s">
        <v>134</v>
      </c>
      <c r="B65" s="14">
        <v>40</v>
      </c>
      <c r="C65" s="14"/>
      <c r="D65" s="14"/>
      <c r="E65" s="14">
        <v>40</v>
      </c>
    </row>
    <row r="66" spans="1:5" x14ac:dyDescent="0.8">
      <c r="A66" s="113" t="s">
        <v>133</v>
      </c>
      <c r="B66" s="14">
        <v>125</v>
      </c>
      <c r="C66" s="14">
        <v>40</v>
      </c>
      <c r="D66" s="14"/>
      <c r="E66" s="14">
        <v>165</v>
      </c>
    </row>
    <row r="67" spans="1:5" x14ac:dyDescent="0.8">
      <c r="A67" s="113" t="s">
        <v>132</v>
      </c>
      <c r="B67" s="14">
        <v>125</v>
      </c>
      <c r="C67" s="14">
        <v>40</v>
      </c>
      <c r="D67" s="14"/>
      <c r="E67" s="14">
        <v>165</v>
      </c>
    </row>
    <row r="68" spans="1:5" x14ac:dyDescent="0.8">
      <c r="A68" s="113" t="s">
        <v>131</v>
      </c>
      <c r="B68" s="14">
        <v>125</v>
      </c>
      <c r="C68" s="14"/>
      <c r="D68" s="14"/>
      <c r="E68" s="14">
        <v>125</v>
      </c>
    </row>
    <row r="69" spans="1:5" x14ac:dyDescent="0.8">
      <c r="A69" s="113" t="s">
        <v>130</v>
      </c>
      <c r="B69" s="14">
        <v>125</v>
      </c>
      <c r="C69" s="14"/>
      <c r="D69" s="14"/>
      <c r="E69" s="14">
        <v>125</v>
      </c>
    </row>
    <row r="70" spans="1:5" x14ac:dyDescent="0.8">
      <c r="A70" s="113" t="s">
        <v>129</v>
      </c>
      <c r="B70" s="14">
        <v>125</v>
      </c>
      <c r="C70" s="14">
        <v>40</v>
      </c>
      <c r="D70" s="14"/>
      <c r="E70" s="14">
        <v>165</v>
      </c>
    </row>
    <row r="71" spans="1:5" x14ac:dyDescent="0.8">
      <c r="A71" s="113" t="s">
        <v>128</v>
      </c>
      <c r="B71" s="14">
        <v>125</v>
      </c>
      <c r="C71" s="14"/>
      <c r="D71" s="14"/>
      <c r="E71" s="14">
        <v>125</v>
      </c>
    </row>
    <row r="72" spans="1:5" x14ac:dyDescent="0.8">
      <c r="A72" s="113" t="s">
        <v>127</v>
      </c>
      <c r="B72" s="14">
        <v>85</v>
      </c>
      <c r="C72" s="14"/>
      <c r="D72" s="14"/>
      <c r="E72" s="14">
        <v>85</v>
      </c>
    </row>
    <row r="73" spans="1:5" x14ac:dyDescent="0.8">
      <c r="A73" s="113" t="s">
        <v>126</v>
      </c>
      <c r="B73" s="14">
        <v>85</v>
      </c>
      <c r="C73" s="14"/>
      <c r="D73" s="14"/>
      <c r="E73" s="14">
        <v>85</v>
      </c>
    </row>
    <row r="74" spans="1:5" x14ac:dyDescent="0.8">
      <c r="A74" s="113" t="s">
        <v>125</v>
      </c>
      <c r="B74" s="14">
        <v>40</v>
      </c>
      <c r="C74" s="14"/>
      <c r="D74" s="14"/>
      <c r="E74" s="14">
        <v>40</v>
      </c>
    </row>
    <row r="75" spans="1:5" x14ac:dyDescent="0.8">
      <c r="A75" s="113" t="s">
        <v>124</v>
      </c>
      <c r="B75" s="14">
        <v>85</v>
      </c>
      <c r="C75" s="14"/>
      <c r="D75" s="14"/>
      <c r="E75" s="14">
        <v>85</v>
      </c>
    </row>
    <row r="76" spans="1:5" x14ac:dyDescent="0.8">
      <c r="A76" s="113" t="s">
        <v>123</v>
      </c>
      <c r="B76" s="14">
        <v>155</v>
      </c>
      <c r="C76" s="14">
        <v>40</v>
      </c>
      <c r="D76" s="14"/>
      <c r="E76" s="14">
        <v>195</v>
      </c>
    </row>
    <row r="77" spans="1:5" x14ac:dyDescent="0.8">
      <c r="A77" s="113" t="s">
        <v>122</v>
      </c>
      <c r="B77" s="14">
        <v>125</v>
      </c>
      <c r="C77" s="14"/>
      <c r="D77" s="14"/>
      <c r="E77" s="14">
        <v>125</v>
      </c>
    </row>
    <row r="78" spans="1:5" x14ac:dyDescent="0.8">
      <c r="A78" s="113" t="s">
        <v>121</v>
      </c>
      <c r="B78" s="14">
        <v>105</v>
      </c>
      <c r="C78" s="14">
        <v>40</v>
      </c>
      <c r="D78" s="14"/>
      <c r="E78" s="14">
        <v>145</v>
      </c>
    </row>
    <row r="79" spans="1:5" x14ac:dyDescent="0.8">
      <c r="A79" s="113" t="s">
        <v>120</v>
      </c>
      <c r="B79" s="14">
        <v>85</v>
      </c>
      <c r="C79" s="14"/>
      <c r="D79" s="14"/>
      <c r="E79" s="14">
        <v>85</v>
      </c>
    </row>
    <row r="80" spans="1:5" x14ac:dyDescent="0.8">
      <c r="A80" s="113" t="s">
        <v>119</v>
      </c>
      <c r="B80" s="14">
        <v>125</v>
      </c>
      <c r="C80" s="14">
        <v>40</v>
      </c>
      <c r="D80" s="14"/>
      <c r="E80" s="14">
        <v>165</v>
      </c>
    </row>
    <row r="81" spans="1:5" x14ac:dyDescent="0.8">
      <c r="A81" s="113" t="s">
        <v>118</v>
      </c>
      <c r="B81" s="14">
        <v>40</v>
      </c>
      <c r="C81" s="14"/>
      <c r="D81" s="14"/>
      <c r="E81" s="14">
        <v>40</v>
      </c>
    </row>
    <row r="82" spans="1:5" x14ac:dyDescent="0.8">
      <c r="A82" s="113" t="s">
        <v>117</v>
      </c>
      <c r="B82" s="14">
        <v>125</v>
      </c>
      <c r="C82" s="14"/>
      <c r="D82" s="14">
        <v>40</v>
      </c>
      <c r="E82" s="14">
        <v>165</v>
      </c>
    </row>
    <row r="83" spans="1:5" x14ac:dyDescent="0.8">
      <c r="A83" s="113" t="s">
        <v>116</v>
      </c>
      <c r="B83" s="14">
        <v>125</v>
      </c>
      <c r="C83" s="14"/>
      <c r="D83" s="14">
        <v>40</v>
      </c>
      <c r="E83" s="14">
        <v>165</v>
      </c>
    </row>
    <row r="84" spans="1:5" x14ac:dyDescent="0.8">
      <c r="A84" s="113" t="s">
        <v>115</v>
      </c>
      <c r="B84" s="14">
        <v>85</v>
      </c>
      <c r="C84" s="14"/>
      <c r="D84" s="14"/>
      <c r="E84" s="14">
        <v>85</v>
      </c>
    </row>
    <row r="85" spans="1:5" x14ac:dyDescent="0.8">
      <c r="A85" s="113" t="s">
        <v>114</v>
      </c>
      <c r="B85" s="14">
        <v>85</v>
      </c>
      <c r="C85" s="14"/>
      <c r="D85" s="14"/>
      <c r="E85" s="14">
        <v>85</v>
      </c>
    </row>
    <row r="86" spans="1:5" x14ac:dyDescent="0.8">
      <c r="A86" s="113" t="s">
        <v>113</v>
      </c>
      <c r="B86" s="14">
        <v>105</v>
      </c>
      <c r="C86" s="14">
        <v>40</v>
      </c>
      <c r="D86" s="14"/>
      <c r="E86" s="14">
        <v>145</v>
      </c>
    </row>
    <row r="87" spans="1:5" x14ac:dyDescent="0.8">
      <c r="A87" s="113" t="s">
        <v>112</v>
      </c>
      <c r="B87" s="14">
        <v>85</v>
      </c>
      <c r="C87" s="14"/>
      <c r="D87" s="14"/>
      <c r="E87" s="14">
        <v>85</v>
      </c>
    </row>
    <row r="88" spans="1:5" x14ac:dyDescent="0.8">
      <c r="A88" s="113" t="s">
        <v>111</v>
      </c>
      <c r="B88" s="14">
        <v>85</v>
      </c>
      <c r="C88" s="14"/>
      <c r="D88" s="14"/>
      <c r="E88" s="14">
        <v>85</v>
      </c>
    </row>
    <row r="89" spans="1:5" x14ac:dyDescent="0.8">
      <c r="A89" s="113" t="s">
        <v>104</v>
      </c>
      <c r="B89" s="14">
        <v>8685</v>
      </c>
      <c r="C89" s="14">
        <v>1525</v>
      </c>
      <c r="D89" s="14">
        <v>440</v>
      </c>
      <c r="E89" s="14">
        <v>10650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34" priority="3"/>
    <cfRule type="duplicateValues" dxfId="33" priority="4"/>
  </conditionalFormatting>
  <conditionalFormatting sqref="A1:A5">
    <cfRule type="duplicateValues" dxfId="32" priority="2"/>
  </conditionalFormatting>
  <conditionalFormatting sqref="A1:A5">
    <cfRule type="duplicateValues" dxfId="31" priority="1"/>
  </conditionalFormatting>
  <pageMargins left="0.7" right="0.7" top="0.75" bottom="0.75" header="0.3" footer="0.3"/>
  <pageSetup scale="49" orientation="portrait" horizontalDpi="1200" verticalDpi="1200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7D7D-2EF4-4A1D-8294-B2E6FEAB97F9}">
  <sheetPr>
    <tabColor rgb="FFFF0000"/>
  </sheetPr>
  <dimension ref="A1:E102"/>
  <sheetViews>
    <sheetView topLeftCell="B28" workbookViewId="0">
      <selection activeCell="F100" sqref="F100"/>
    </sheetView>
  </sheetViews>
  <sheetFormatPr defaultColWidth="8.625" defaultRowHeight="14.75" x14ac:dyDescent="0.75"/>
  <cols>
    <col min="1" max="1" width="12.70703125" style="39" bestFit="1" customWidth="1"/>
    <col min="2" max="2" width="19.70703125" style="39" bestFit="1" customWidth="1"/>
    <col min="3" max="4" width="17" style="39" bestFit="1" customWidth="1"/>
    <col min="5" max="5" width="10.375" style="39" bestFit="1" customWidth="1"/>
    <col min="6" max="16384" width="8.625" style="39"/>
  </cols>
  <sheetData>
    <row r="1" spans="1:5" x14ac:dyDescent="0.75">
      <c r="A1" s="225" t="s">
        <v>86</v>
      </c>
      <c r="B1" s="226"/>
      <c r="C1" s="43" t="s">
        <v>88</v>
      </c>
      <c r="D1" s="230">
        <v>44766</v>
      </c>
      <c r="E1" s="231"/>
    </row>
    <row r="2" spans="1:5" x14ac:dyDescent="0.75">
      <c r="A2" s="225" t="s">
        <v>87</v>
      </c>
      <c r="B2" s="226"/>
      <c r="C2" s="43" t="s">
        <v>90</v>
      </c>
      <c r="D2" s="230">
        <v>44765</v>
      </c>
      <c r="E2" s="231"/>
    </row>
    <row r="3" spans="1:5" x14ac:dyDescent="0.75">
      <c r="A3" s="225" t="s">
        <v>89</v>
      </c>
      <c r="B3" s="226"/>
      <c r="C3" s="43" t="s">
        <v>92</v>
      </c>
      <c r="D3" s="227">
        <v>43</v>
      </c>
      <c r="E3" s="228"/>
    </row>
    <row r="4" spans="1:5" x14ac:dyDescent="0.75">
      <c r="A4" s="225" t="s">
        <v>91</v>
      </c>
      <c r="B4" s="226"/>
      <c r="C4" s="43" t="s">
        <v>94</v>
      </c>
      <c r="D4" s="227" t="s">
        <v>95</v>
      </c>
      <c r="E4" s="228"/>
    </row>
    <row r="5" spans="1:5" x14ac:dyDescent="0.75">
      <c r="A5" s="225" t="s">
        <v>93</v>
      </c>
      <c r="B5" s="226"/>
      <c r="C5" s="43" t="s">
        <v>109</v>
      </c>
      <c r="D5" s="229">
        <f>GETPIVOTDATA("Sum of Total",$A$6)</f>
        <v>12160</v>
      </c>
      <c r="E5" s="229"/>
    </row>
    <row r="6" spans="1:5" x14ac:dyDescent="0.75">
      <c r="A6" s="42" t="s">
        <v>103</v>
      </c>
      <c r="B6" s="42" t="s">
        <v>105</v>
      </c>
      <c r="C6" s="42" t="s">
        <v>106</v>
      </c>
      <c r="D6" s="42" t="s">
        <v>107</v>
      </c>
      <c r="E6" s="42" t="s">
        <v>108</v>
      </c>
    </row>
    <row r="7" spans="1:5" x14ac:dyDescent="0.75">
      <c r="A7" s="41" t="s">
        <v>269</v>
      </c>
      <c r="B7" s="40">
        <v>125</v>
      </c>
      <c r="C7" s="40"/>
      <c r="D7" s="40"/>
      <c r="E7" s="40">
        <v>125</v>
      </c>
    </row>
    <row r="8" spans="1:5" x14ac:dyDescent="0.75">
      <c r="A8" s="41" t="s">
        <v>270</v>
      </c>
      <c r="B8" s="40">
        <v>85</v>
      </c>
      <c r="C8" s="40"/>
      <c r="D8" s="40"/>
      <c r="E8" s="40">
        <v>85</v>
      </c>
    </row>
    <row r="9" spans="1:5" x14ac:dyDescent="0.75">
      <c r="A9" s="41" t="s">
        <v>271</v>
      </c>
      <c r="B9" s="40">
        <v>125</v>
      </c>
      <c r="C9" s="40"/>
      <c r="D9" s="40"/>
      <c r="E9" s="40">
        <v>125</v>
      </c>
    </row>
    <row r="10" spans="1:5" x14ac:dyDescent="0.75">
      <c r="A10" s="41" t="s">
        <v>272</v>
      </c>
      <c r="B10" s="40">
        <v>40</v>
      </c>
      <c r="C10" s="40"/>
      <c r="D10" s="40"/>
      <c r="E10" s="40">
        <v>40</v>
      </c>
    </row>
    <row r="11" spans="1:5" x14ac:dyDescent="0.75">
      <c r="A11" s="41" t="s">
        <v>273</v>
      </c>
      <c r="B11" s="40">
        <v>40</v>
      </c>
      <c r="C11" s="40"/>
      <c r="D11" s="40"/>
      <c r="E11" s="40">
        <v>40</v>
      </c>
    </row>
    <row r="12" spans="1:5" x14ac:dyDescent="0.75">
      <c r="A12" s="41" t="s">
        <v>274</v>
      </c>
      <c r="B12" s="40">
        <v>85</v>
      </c>
      <c r="C12" s="40">
        <v>40</v>
      </c>
      <c r="D12" s="40"/>
      <c r="E12" s="40">
        <v>125</v>
      </c>
    </row>
    <row r="13" spans="1:5" x14ac:dyDescent="0.75">
      <c r="A13" s="41" t="s">
        <v>275</v>
      </c>
      <c r="B13" s="40">
        <v>125</v>
      </c>
      <c r="C13" s="40"/>
      <c r="D13" s="40">
        <v>40</v>
      </c>
      <c r="E13" s="40">
        <v>165</v>
      </c>
    </row>
    <row r="14" spans="1:5" x14ac:dyDescent="0.75">
      <c r="A14" s="41" t="s">
        <v>58</v>
      </c>
      <c r="B14" s="40">
        <v>40</v>
      </c>
      <c r="C14" s="40"/>
      <c r="D14" s="40"/>
      <c r="E14" s="40">
        <v>40</v>
      </c>
    </row>
    <row r="15" spans="1:5" x14ac:dyDescent="0.75">
      <c r="A15" s="41" t="s">
        <v>276</v>
      </c>
      <c r="B15" s="40">
        <v>85</v>
      </c>
      <c r="C15" s="40"/>
      <c r="D15" s="40">
        <v>40</v>
      </c>
      <c r="E15" s="40">
        <v>125</v>
      </c>
    </row>
    <row r="16" spans="1:5" x14ac:dyDescent="0.75">
      <c r="A16" s="41" t="s">
        <v>277</v>
      </c>
      <c r="B16" s="40">
        <v>85</v>
      </c>
      <c r="C16" s="40"/>
      <c r="D16" s="40">
        <v>40</v>
      </c>
      <c r="E16" s="40">
        <v>125</v>
      </c>
    </row>
    <row r="17" spans="1:5" x14ac:dyDescent="0.75">
      <c r="A17" s="41" t="s">
        <v>278</v>
      </c>
      <c r="B17" s="40">
        <v>125</v>
      </c>
      <c r="C17" s="40">
        <v>40</v>
      </c>
      <c r="D17" s="40"/>
      <c r="E17" s="40">
        <v>165</v>
      </c>
    </row>
    <row r="18" spans="1:5" x14ac:dyDescent="0.75">
      <c r="A18" s="41" t="s">
        <v>279</v>
      </c>
      <c r="B18" s="40">
        <v>85</v>
      </c>
      <c r="C18" s="40">
        <v>40</v>
      </c>
      <c r="D18" s="40"/>
      <c r="E18" s="40">
        <v>125</v>
      </c>
    </row>
    <row r="19" spans="1:5" x14ac:dyDescent="0.75">
      <c r="A19" s="41" t="s">
        <v>280</v>
      </c>
      <c r="B19" s="40">
        <v>85</v>
      </c>
      <c r="C19" s="40"/>
      <c r="D19" s="40">
        <v>40</v>
      </c>
      <c r="E19" s="40">
        <v>125</v>
      </c>
    </row>
    <row r="20" spans="1:5" x14ac:dyDescent="0.75">
      <c r="A20" s="41" t="s">
        <v>281</v>
      </c>
      <c r="B20" s="40">
        <v>85</v>
      </c>
      <c r="C20" s="40"/>
      <c r="D20" s="40"/>
      <c r="E20" s="40">
        <v>85</v>
      </c>
    </row>
    <row r="21" spans="1:5" x14ac:dyDescent="0.75">
      <c r="A21" s="41" t="s">
        <v>282</v>
      </c>
      <c r="B21" s="40">
        <v>105</v>
      </c>
      <c r="C21" s="40"/>
      <c r="D21" s="40">
        <v>40</v>
      </c>
      <c r="E21" s="40">
        <v>145</v>
      </c>
    </row>
    <row r="22" spans="1:5" x14ac:dyDescent="0.75">
      <c r="A22" s="41" t="s">
        <v>283</v>
      </c>
      <c r="B22" s="40">
        <v>125</v>
      </c>
      <c r="C22" s="40">
        <v>40</v>
      </c>
      <c r="D22" s="40"/>
      <c r="E22" s="40">
        <v>165</v>
      </c>
    </row>
    <row r="23" spans="1:5" x14ac:dyDescent="0.75">
      <c r="A23" s="41" t="s">
        <v>284</v>
      </c>
      <c r="B23" s="40">
        <v>125</v>
      </c>
      <c r="C23" s="40"/>
      <c r="D23" s="40">
        <v>40</v>
      </c>
      <c r="E23" s="40">
        <v>165</v>
      </c>
    </row>
    <row r="24" spans="1:5" x14ac:dyDescent="0.75">
      <c r="A24" s="41" t="s">
        <v>150</v>
      </c>
      <c r="B24" s="40">
        <v>40</v>
      </c>
      <c r="C24" s="40"/>
      <c r="D24" s="40"/>
      <c r="E24" s="40">
        <v>40</v>
      </c>
    </row>
    <row r="25" spans="1:5" x14ac:dyDescent="0.75">
      <c r="A25" s="41" t="s">
        <v>285</v>
      </c>
      <c r="B25" s="40">
        <v>125</v>
      </c>
      <c r="C25" s="40">
        <v>40</v>
      </c>
      <c r="D25" s="40"/>
      <c r="E25" s="40">
        <v>165</v>
      </c>
    </row>
    <row r="26" spans="1:5" x14ac:dyDescent="0.75">
      <c r="A26" s="41" t="s">
        <v>286</v>
      </c>
      <c r="B26" s="40">
        <v>125</v>
      </c>
      <c r="C26" s="40">
        <v>40</v>
      </c>
      <c r="D26" s="40"/>
      <c r="E26" s="40">
        <v>165</v>
      </c>
    </row>
    <row r="27" spans="1:5" x14ac:dyDescent="0.75">
      <c r="A27" s="41" t="s">
        <v>287</v>
      </c>
      <c r="B27" s="40">
        <v>85</v>
      </c>
      <c r="C27" s="40"/>
      <c r="D27" s="40"/>
      <c r="E27" s="40">
        <v>85</v>
      </c>
    </row>
    <row r="28" spans="1:5" x14ac:dyDescent="0.75">
      <c r="A28" s="41" t="s">
        <v>288</v>
      </c>
      <c r="B28" s="40">
        <v>85</v>
      </c>
      <c r="C28" s="40"/>
      <c r="D28" s="40"/>
      <c r="E28" s="40">
        <v>85</v>
      </c>
    </row>
    <row r="29" spans="1:5" x14ac:dyDescent="0.75">
      <c r="A29" s="41" t="s">
        <v>134</v>
      </c>
      <c r="B29" s="40">
        <v>125</v>
      </c>
      <c r="C29" s="40">
        <v>40</v>
      </c>
      <c r="D29" s="40"/>
      <c r="E29" s="40">
        <v>165</v>
      </c>
    </row>
    <row r="30" spans="1:5" x14ac:dyDescent="0.75">
      <c r="A30" s="41" t="s">
        <v>289</v>
      </c>
      <c r="B30" s="40">
        <v>40</v>
      </c>
      <c r="C30" s="40"/>
      <c r="D30" s="40"/>
      <c r="E30" s="40">
        <v>40</v>
      </c>
    </row>
    <row r="31" spans="1:5" x14ac:dyDescent="0.75">
      <c r="A31" s="41" t="s">
        <v>290</v>
      </c>
      <c r="B31" s="40">
        <v>125</v>
      </c>
      <c r="C31" s="40">
        <v>40</v>
      </c>
      <c r="D31" s="40"/>
      <c r="E31" s="40">
        <v>165</v>
      </c>
    </row>
    <row r="32" spans="1:5" x14ac:dyDescent="0.75">
      <c r="A32" s="41" t="s">
        <v>291</v>
      </c>
      <c r="B32" s="40">
        <v>125</v>
      </c>
      <c r="C32" s="40"/>
      <c r="D32" s="40">
        <v>40</v>
      </c>
      <c r="E32" s="40">
        <v>165</v>
      </c>
    </row>
    <row r="33" spans="1:5" x14ac:dyDescent="0.75">
      <c r="A33" s="41" t="s">
        <v>292</v>
      </c>
      <c r="B33" s="40">
        <v>125</v>
      </c>
      <c r="C33" s="40"/>
      <c r="D33" s="40"/>
      <c r="E33" s="40">
        <v>125</v>
      </c>
    </row>
    <row r="34" spans="1:5" x14ac:dyDescent="0.75">
      <c r="A34" s="41" t="s">
        <v>293</v>
      </c>
      <c r="B34" s="40">
        <v>125</v>
      </c>
      <c r="C34" s="40"/>
      <c r="D34" s="40"/>
      <c r="E34" s="40">
        <v>125</v>
      </c>
    </row>
    <row r="35" spans="1:5" x14ac:dyDescent="0.75">
      <c r="A35" s="41" t="s">
        <v>294</v>
      </c>
      <c r="B35" s="40">
        <v>125</v>
      </c>
      <c r="C35" s="40">
        <v>40</v>
      </c>
      <c r="D35" s="40"/>
      <c r="E35" s="40">
        <v>165</v>
      </c>
    </row>
    <row r="36" spans="1:5" x14ac:dyDescent="0.75">
      <c r="A36" s="41" t="s">
        <v>295</v>
      </c>
      <c r="B36" s="40">
        <v>125</v>
      </c>
      <c r="C36" s="40">
        <v>40</v>
      </c>
      <c r="D36" s="40"/>
      <c r="E36" s="40">
        <v>165</v>
      </c>
    </row>
    <row r="37" spans="1:5" x14ac:dyDescent="0.75">
      <c r="A37" s="41" t="s">
        <v>296</v>
      </c>
      <c r="B37" s="40">
        <v>40</v>
      </c>
      <c r="C37" s="40"/>
      <c r="D37" s="40"/>
      <c r="E37" s="40">
        <v>40</v>
      </c>
    </row>
    <row r="38" spans="1:5" x14ac:dyDescent="0.75">
      <c r="A38" s="41" t="s">
        <v>297</v>
      </c>
      <c r="B38" s="40">
        <v>125</v>
      </c>
      <c r="C38" s="40">
        <v>40</v>
      </c>
      <c r="D38" s="40"/>
      <c r="E38" s="40">
        <v>165</v>
      </c>
    </row>
    <row r="39" spans="1:5" x14ac:dyDescent="0.75">
      <c r="A39" s="41" t="s">
        <v>298</v>
      </c>
      <c r="B39" s="40">
        <v>125</v>
      </c>
      <c r="C39" s="40">
        <v>40</v>
      </c>
      <c r="D39" s="40"/>
      <c r="E39" s="40">
        <v>165</v>
      </c>
    </row>
    <row r="40" spans="1:5" x14ac:dyDescent="0.75">
      <c r="A40" s="41" t="s">
        <v>299</v>
      </c>
      <c r="B40" s="40">
        <v>125</v>
      </c>
      <c r="C40" s="40">
        <v>40</v>
      </c>
      <c r="D40" s="40"/>
      <c r="E40" s="40">
        <v>165</v>
      </c>
    </row>
    <row r="41" spans="1:5" x14ac:dyDescent="0.75">
      <c r="A41" s="41" t="s">
        <v>300</v>
      </c>
      <c r="B41" s="40">
        <v>125</v>
      </c>
      <c r="C41" s="40">
        <v>40</v>
      </c>
      <c r="D41" s="40"/>
      <c r="E41" s="40">
        <v>165</v>
      </c>
    </row>
    <row r="42" spans="1:5" x14ac:dyDescent="0.75">
      <c r="A42" s="41" t="s">
        <v>301</v>
      </c>
      <c r="B42" s="40">
        <v>125</v>
      </c>
      <c r="C42" s="40">
        <v>40</v>
      </c>
      <c r="D42" s="40"/>
      <c r="E42" s="40">
        <v>165</v>
      </c>
    </row>
    <row r="43" spans="1:5" x14ac:dyDescent="0.75">
      <c r="A43" s="41" t="s">
        <v>302</v>
      </c>
      <c r="B43" s="40">
        <v>155</v>
      </c>
      <c r="C43" s="40">
        <v>40</v>
      </c>
      <c r="D43" s="40"/>
      <c r="E43" s="40">
        <v>195</v>
      </c>
    </row>
    <row r="44" spans="1:5" x14ac:dyDescent="0.75">
      <c r="A44" s="41" t="s">
        <v>303</v>
      </c>
      <c r="B44" s="40">
        <v>125</v>
      </c>
      <c r="C44" s="40">
        <v>40</v>
      </c>
      <c r="D44" s="40"/>
      <c r="E44" s="40">
        <v>165</v>
      </c>
    </row>
    <row r="45" spans="1:5" x14ac:dyDescent="0.75">
      <c r="A45" s="41" t="s">
        <v>304</v>
      </c>
      <c r="B45" s="40">
        <v>125</v>
      </c>
      <c r="C45" s="40">
        <v>40</v>
      </c>
      <c r="D45" s="40"/>
      <c r="E45" s="40">
        <v>165</v>
      </c>
    </row>
    <row r="46" spans="1:5" x14ac:dyDescent="0.75">
      <c r="A46" s="41" t="s">
        <v>305</v>
      </c>
      <c r="B46" s="40">
        <v>125</v>
      </c>
      <c r="C46" s="40">
        <v>45</v>
      </c>
      <c r="D46" s="40"/>
      <c r="E46" s="40">
        <v>170</v>
      </c>
    </row>
    <row r="47" spans="1:5" x14ac:dyDescent="0.75">
      <c r="A47" s="41" t="s">
        <v>306</v>
      </c>
      <c r="B47" s="40">
        <v>125</v>
      </c>
      <c r="C47" s="40"/>
      <c r="D47" s="40">
        <v>40</v>
      </c>
      <c r="E47" s="40">
        <v>165</v>
      </c>
    </row>
    <row r="48" spans="1:5" x14ac:dyDescent="0.75">
      <c r="A48" s="41" t="s">
        <v>307</v>
      </c>
      <c r="B48" s="40">
        <v>125</v>
      </c>
      <c r="C48" s="40">
        <v>40</v>
      </c>
      <c r="D48" s="40"/>
      <c r="E48" s="40">
        <v>165</v>
      </c>
    </row>
    <row r="49" spans="1:5" x14ac:dyDescent="0.75">
      <c r="A49" s="41" t="s">
        <v>308</v>
      </c>
      <c r="B49" s="40">
        <v>125</v>
      </c>
      <c r="C49" s="40">
        <v>40</v>
      </c>
      <c r="D49" s="40"/>
      <c r="E49" s="40">
        <v>165</v>
      </c>
    </row>
    <row r="50" spans="1:5" x14ac:dyDescent="0.75">
      <c r="A50" s="41" t="s">
        <v>309</v>
      </c>
      <c r="B50" s="40">
        <v>125</v>
      </c>
      <c r="C50" s="40">
        <v>40</v>
      </c>
      <c r="D50" s="40"/>
      <c r="E50" s="40">
        <v>165</v>
      </c>
    </row>
    <row r="51" spans="1:5" x14ac:dyDescent="0.75">
      <c r="A51" s="41" t="s">
        <v>310</v>
      </c>
      <c r="B51" s="40">
        <v>125</v>
      </c>
      <c r="C51" s="40">
        <v>40</v>
      </c>
      <c r="D51" s="40"/>
      <c r="E51" s="40">
        <v>165</v>
      </c>
    </row>
    <row r="52" spans="1:5" x14ac:dyDescent="0.75">
      <c r="A52" s="41" t="s">
        <v>311</v>
      </c>
      <c r="B52" s="40">
        <v>125</v>
      </c>
      <c r="C52" s="40">
        <v>40</v>
      </c>
      <c r="D52" s="40"/>
      <c r="E52" s="40">
        <v>165</v>
      </c>
    </row>
    <row r="53" spans="1:5" x14ac:dyDescent="0.75">
      <c r="A53" s="41" t="s">
        <v>200</v>
      </c>
      <c r="B53" s="40">
        <v>40</v>
      </c>
      <c r="C53" s="40"/>
      <c r="D53" s="40"/>
      <c r="E53" s="40">
        <v>40</v>
      </c>
    </row>
    <row r="54" spans="1:5" x14ac:dyDescent="0.75">
      <c r="A54" s="41" t="s">
        <v>312</v>
      </c>
      <c r="B54" s="40">
        <v>85</v>
      </c>
      <c r="C54" s="40"/>
      <c r="D54" s="40"/>
      <c r="E54" s="40">
        <v>85</v>
      </c>
    </row>
    <row r="55" spans="1:5" x14ac:dyDescent="0.75">
      <c r="A55" s="41" t="s">
        <v>313</v>
      </c>
      <c r="B55" s="40">
        <v>125</v>
      </c>
      <c r="C55" s="40">
        <v>40</v>
      </c>
      <c r="D55" s="40"/>
      <c r="E55" s="40">
        <v>165</v>
      </c>
    </row>
    <row r="56" spans="1:5" x14ac:dyDescent="0.75">
      <c r="A56" s="41" t="s">
        <v>314</v>
      </c>
      <c r="B56" s="40">
        <v>125</v>
      </c>
      <c r="C56" s="40">
        <v>40</v>
      </c>
      <c r="D56" s="40"/>
      <c r="E56" s="40">
        <v>165</v>
      </c>
    </row>
    <row r="57" spans="1:5" x14ac:dyDescent="0.75">
      <c r="A57" s="41" t="s">
        <v>315</v>
      </c>
      <c r="B57" s="40">
        <v>85</v>
      </c>
      <c r="C57" s="40">
        <v>40</v>
      </c>
      <c r="D57" s="40"/>
      <c r="E57" s="40">
        <v>125</v>
      </c>
    </row>
    <row r="58" spans="1:5" x14ac:dyDescent="0.75">
      <c r="A58" s="41" t="s">
        <v>316</v>
      </c>
      <c r="B58" s="40">
        <v>125</v>
      </c>
      <c r="C58" s="40">
        <v>40</v>
      </c>
      <c r="D58" s="40"/>
      <c r="E58" s="40">
        <v>165</v>
      </c>
    </row>
    <row r="59" spans="1:5" x14ac:dyDescent="0.75">
      <c r="A59" s="41" t="s">
        <v>317</v>
      </c>
      <c r="B59" s="40">
        <v>85</v>
      </c>
      <c r="C59" s="40">
        <v>40</v>
      </c>
      <c r="D59" s="40"/>
      <c r="E59" s="40">
        <v>125</v>
      </c>
    </row>
    <row r="60" spans="1:5" x14ac:dyDescent="0.75">
      <c r="A60" s="41" t="s">
        <v>318</v>
      </c>
      <c r="B60" s="40">
        <v>40</v>
      </c>
      <c r="C60" s="40"/>
      <c r="D60" s="40"/>
      <c r="E60" s="40">
        <v>40</v>
      </c>
    </row>
    <row r="61" spans="1:5" x14ac:dyDescent="0.75">
      <c r="A61" s="41" t="s">
        <v>319</v>
      </c>
      <c r="B61" s="40">
        <v>85</v>
      </c>
      <c r="C61" s="40"/>
      <c r="D61" s="40">
        <v>40</v>
      </c>
      <c r="E61" s="40">
        <v>125</v>
      </c>
    </row>
    <row r="62" spans="1:5" x14ac:dyDescent="0.75">
      <c r="A62" s="41" t="s">
        <v>320</v>
      </c>
      <c r="B62" s="40">
        <v>125</v>
      </c>
      <c r="C62" s="40">
        <v>40</v>
      </c>
      <c r="D62" s="40">
        <v>45</v>
      </c>
      <c r="E62" s="40">
        <v>210</v>
      </c>
    </row>
    <row r="63" spans="1:5" x14ac:dyDescent="0.75">
      <c r="A63" s="41" t="s">
        <v>321</v>
      </c>
      <c r="B63" s="40">
        <v>125</v>
      </c>
      <c r="C63" s="40">
        <v>40</v>
      </c>
      <c r="D63" s="40"/>
      <c r="E63" s="40">
        <v>165</v>
      </c>
    </row>
    <row r="64" spans="1:5" x14ac:dyDescent="0.75">
      <c r="A64" s="41" t="s">
        <v>322</v>
      </c>
      <c r="B64" s="40">
        <v>85</v>
      </c>
      <c r="C64" s="40">
        <v>40</v>
      </c>
      <c r="D64" s="40"/>
      <c r="E64" s="40">
        <v>125</v>
      </c>
    </row>
    <row r="65" spans="1:5" x14ac:dyDescent="0.75">
      <c r="A65" s="41" t="s">
        <v>323</v>
      </c>
      <c r="B65" s="40">
        <v>125</v>
      </c>
      <c r="C65" s="40"/>
      <c r="D65" s="40"/>
      <c r="E65" s="40">
        <v>125</v>
      </c>
    </row>
    <row r="66" spans="1:5" x14ac:dyDescent="0.75">
      <c r="A66" s="41" t="s">
        <v>324</v>
      </c>
      <c r="B66" s="40">
        <v>125</v>
      </c>
      <c r="C66" s="40">
        <v>40</v>
      </c>
      <c r="D66" s="40"/>
      <c r="E66" s="40">
        <v>165</v>
      </c>
    </row>
    <row r="67" spans="1:5" x14ac:dyDescent="0.75">
      <c r="A67" s="41" t="s">
        <v>325</v>
      </c>
      <c r="B67" s="40">
        <v>125</v>
      </c>
      <c r="C67" s="40"/>
      <c r="D67" s="40"/>
      <c r="E67" s="40">
        <v>125</v>
      </c>
    </row>
    <row r="68" spans="1:5" x14ac:dyDescent="0.75">
      <c r="A68" s="41" t="s">
        <v>326</v>
      </c>
      <c r="B68" s="40">
        <v>125</v>
      </c>
      <c r="C68" s="40"/>
      <c r="D68" s="40"/>
      <c r="E68" s="40">
        <v>125</v>
      </c>
    </row>
    <row r="69" spans="1:5" x14ac:dyDescent="0.75">
      <c r="A69" s="41" t="s">
        <v>327</v>
      </c>
      <c r="B69" s="40">
        <v>125</v>
      </c>
      <c r="C69" s="40">
        <v>40</v>
      </c>
      <c r="D69" s="40"/>
      <c r="E69" s="40">
        <v>165</v>
      </c>
    </row>
    <row r="70" spans="1:5" x14ac:dyDescent="0.75">
      <c r="A70" s="41" t="s">
        <v>328</v>
      </c>
      <c r="B70" s="40">
        <v>85</v>
      </c>
      <c r="C70" s="40">
        <v>40</v>
      </c>
      <c r="D70" s="40"/>
      <c r="E70" s="40">
        <v>125</v>
      </c>
    </row>
    <row r="71" spans="1:5" x14ac:dyDescent="0.75">
      <c r="A71" s="41" t="s">
        <v>329</v>
      </c>
      <c r="B71" s="40">
        <v>40</v>
      </c>
      <c r="C71" s="40"/>
      <c r="D71" s="40"/>
      <c r="E71" s="40">
        <v>40</v>
      </c>
    </row>
    <row r="72" spans="1:5" x14ac:dyDescent="0.75">
      <c r="A72" s="41" t="s">
        <v>330</v>
      </c>
      <c r="B72" s="40">
        <v>85</v>
      </c>
      <c r="C72" s="40">
        <v>40</v>
      </c>
      <c r="D72" s="40"/>
      <c r="E72" s="40">
        <v>125</v>
      </c>
    </row>
    <row r="73" spans="1:5" x14ac:dyDescent="0.75">
      <c r="A73" s="41" t="s">
        <v>331</v>
      </c>
      <c r="B73" s="40">
        <v>40</v>
      </c>
      <c r="C73" s="40"/>
      <c r="D73" s="40"/>
      <c r="E73" s="40">
        <v>40</v>
      </c>
    </row>
    <row r="74" spans="1:5" x14ac:dyDescent="0.75">
      <c r="A74" s="41" t="s">
        <v>332</v>
      </c>
      <c r="B74" s="40">
        <v>125</v>
      </c>
      <c r="C74" s="40">
        <v>40</v>
      </c>
      <c r="D74" s="40"/>
      <c r="E74" s="40">
        <v>165</v>
      </c>
    </row>
    <row r="75" spans="1:5" x14ac:dyDescent="0.75">
      <c r="A75" s="41" t="s">
        <v>333</v>
      </c>
      <c r="B75" s="40">
        <v>125</v>
      </c>
      <c r="C75" s="40"/>
      <c r="D75" s="40"/>
      <c r="E75" s="40">
        <v>125</v>
      </c>
    </row>
    <row r="76" spans="1:5" x14ac:dyDescent="0.75">
      <c r="A76" s="41" t="s">
        <v>334</v>
      </c>
      <c r="B76" s="40">
        <v>125</v>
      </c>
      <c r="C76" s="40"/>
      <c r="D76" s="40"/>
      <c r="E76" s="40">
        <v>125</v>
      </c>
    </row>
    <row r="77" spans="1:5" x14ac:dyDescent="0.75">
      <c r="A77" s="41" t="s">
        <v>335</v>
      </c>
      <c r="B77" s="40">
        <v>40</v>
      </c>
      <c r="C77" s="40"/>
      <c r="D77" s="40"/>
      <c r="E77" s="40">
        <v>40</v>
      </c>
    </row>
    <row r="78" spans="1:5" x14ac:dyDescent="0.75">
      <c r="A78" s="41" t="s">
        <v>336</v>
      </c>
      <c r="B78" s="40">
        <v>125</v>
      </c>
      <c r="C78" s="40">
        <v>40</v>
      </c>
      <c r="D78" s="40"/>
      <c r="E78" s="40">
        <v>165</v>
      </c>
    </row>
    <row r="79" spans="1:5" x14ac:dyDescent="0.75">
      <c r="A79" s="41" t="s">
        <v>337</v>
      </c>
      <c r="B79" s="40">
        <v>125</v>
      </c>
      <c r="C79" s="40"/>
      <c r="D79" s="40"/>
      <c r="E79" s="40">
        <v>125</v>
      </c>
    </row>
    <row r="80" spans="1:5" x14ac:dyDescent="0.75">
      <c r="A80" s="41" t="s">
        <v>338</v>
      </c>
      <c r="B80" s="40">
        <v>85</v>
      </c>
      <c r="C80" s="40"/>
      <c r="D80" s="40"/>
      <c r="E80" s="40">
        <v>85</v>
      </c>
    </row>
    <row r="81" spans="1:5" x14ac:dyDescent="0.75">
      <c r="A81" s="41" t="s">
        <v>339</v>
      </c>
      <c r="B81" s="40">
        <v>125</v>
      </c>
      <c r="C81" s="40">
        <v>40</v>
      </c>
      <c r="D81" s="40"/>
      <c r="E81" s="40">
        <v>165</v>
      </c>
    </row>
    <row r="82" spans="1:5" x14ac:dyDescent="0.75">
      <c r="A82" s="41" t="s">
        <v>340</v>
      </c>
      <c r="B82" s="40">
        <v>85</v>
      </c>
      <c r="C82" s="40">
        <v>40</v>
      </c>
      <c r="D82" s="40"/>
      <c r="E82" s="40">
        <v>125</v>
      </c>
    </row>
    <row r="83" spans="1:5" x14ac:dyDescent="0.75">
      <c r="A83" s="41" t="s">
        <v>341</v>
      </c>
      <c r="B83" s="40">
        <v>40</v>
      </c>
      <c r="C83" s="40"/>
      <c r="D83" s="40"/>
      <c r="E83" s="40">
        <v>40</v>
      </c>
    </row>
    <row r="84" spans="1:5" x14ac:dyDescent="0.75">
      <c r="A84" s="41" t="s">
        <v>342</v>
      </c>
      <c r="B84" s="40">
        <v>125</v>
      </c>
      <c r="C84" s="40"/>
      <c r="D84" s="40"/>
      <c r="E84" s="40">
        <v>125</v>
      </c>
    </row>
    <row r="85" spans="1:5" x14ac:dyDescent="0.75">
      <c r="A85" s="41" t="s">
        <v>343</v>
      </c>
      <c r="B85" s="40">
        <v>125</v>
      </c>
      <c r="C85" s="40">
        <v>40</v>
      </c>
      <c r="D85" s="40"/>
      <c r="E85" s="40">
        <v>165</v>
      </c>
    </row>
    <row r="86" spans="1:5" x14ac:dyDescent="0.75">
      <c r="A86" s="41" t="s">
        <v>344</v>
      </c>
      <c r="B86" s="40">
        <v>85</v>
      </c>
      <c r="C86" s="40">
        <v>40</v>
      </c>
      <c r="D86" s="40"/>
      <c r="E86" s="40">
        <v>125</v>
      </c>
    </row>
    <row r="87" spans="1:5" x14ac:dyDescent="0.75">
      <c r="A87" s="41" t="s">
        <v>345</v>
      </c>
      <c r="B87" s="40">
        <v>85</v>
      </c>
      <c r="C87" s="40">
        <v>40</v>
      </c>
      <c r="D87" s="40"/>
      <c r="E87" s="40">
        <v>125</v>
      </c>
    </row>
    <row r="88" spans="1:5" x14ac:dyDescent="0.75">
      <c r="A88" s="41" t="s">
        <v>346</v>
      </c>
      <c r="B88" s="40">
        <v>105</v>
      </c>
      <c r="C88" s="40">
        <v>40</v>
      </c>
      <c r="D88" s="40"/>
      <c r="E88" s="40">
        <v>145</v>
      </c>
    </row>
    <row r="89" spans="1:5" x14ac:dyDescent="0.75">
      <c r="A89" s="41" t="s">
        <v>347</v>
      </c>
      <c r="B89" s="40">
        <v>85</v>
      </c>
      <c r="C89" s="40"/>
      <c r="D89" s="40"/>
      <c r="E89" s="40">
        <v>85</v>
      </c>
    </row>
    <row r="90" spans="1:5" x14ac:dyDescent="0.75">
      <c r="A90" s="41" t="s">
        <v>348</v>
      </c>
      <c r="B90" s="40">
        <v>85</v>
      </c>
      <c r="C90" s="40">
        <v>25</v>
      </c>
      <c r="D90" s="40"/>
      <c r="E90" s="40">
        <v>110</v>
      </c>
    </row>
    <row r="91" spans="1:5" x14ac:dyDescent="0.75">
      <c r="A91" s="41" t="s">
        <v>349</v>
      </c>
      <c r="B91" s="40">
        <v>125</v>
      </c>
      <c r="C91" s="40">
        <v>40</v>
      </c>
      <c r="D91" s="40"/>
      <c r="E91" s="40">
        <v>165</v>
      </c>
    </row>
    <row r="92" spans="1:5" x14ac:dyDescent="0.75">
      <c r="A92" s="41" t="s">
        <v>350</v>
      </c>
      <c r="B92" s="40">
        <v>105</v>
      </c>
      <c r="C92" s="40"/>
      <c r="D92" s="40">
        <v>40</v>
      </c>
      <c r="E92" s="40">
        <v>145</v>
      </c>
    </row>
    <row r="93" spans="1:5" x14ac:dyDescent="0.75">
      <c r="A93" s="41" t="s">
        <v>351</v>
      </c>
      <c r="B93" s="40">
        <v>85</v>
      </c>
      <c r="C93" s="40"/>
      <c r="D93" s="40"/>
      <c r="E93" s="40">
        <v>85</v>
      </c>
    </row>
    <row r="94" spans="1:5" x14ac:dyDescent="0.75">
      <c r="A94" s="41" t="s">
        <v>352</v>
      </c>
      <c r="B94" s="40">
        <v>85</v>
      </c>
      <c r="C94" s="40"/>
      <c r="D94" s="40"/>
      <c r="E94" s="40">
        <v>85</v>
      </c>
    </row>
    <row r="95" spans="1:5" x14ac:dyDescent="0.75">
      <c r="A95" s="41" t="s">
        <v>353</v>
      </c>
      <c r="B95" s="40">
        <v>125</v>
      </c>
      <c r="C95" s="40">
        <v>40</v>
      </c>
      <c r="D95" s="40"/>
      <c r="E95" s="40">
        <v>165</v>
      </c>
    </row>
    <row r="96" spans="1:5" x14ac:dyDescent="0.75">
      <c r="A96" s="41" t="s">
        <v>354</v>
      </c>
      <c r="B96" s="40">
        <v>85</v>
      </c>
      <c r="C96" s="40"/>
      <c r="D96" s="40"/>
      <c r="E96" s="40">
        <v>85</v>
      </c>
    </row>
    <row r="97" spans="1:5" x14ac:dyDescent="0.75">
      <c r="A97" s="41" t="s">
        <v>355</v>
      </c>
      <c r="B97" s="40">
        <v>85</v>
      </c>
      <c r="C97" s="40">
        <v>40</v>
      </c>
      <c r="D97" s="40"/>
      <c r="E97" s="40">
        <v>125</v>
      </c>
    </row>
    <row r="98" spans="1:5" x14ac:dyDescent="0.75">
      <c r="A98" s="41" t="s">
        <v>356</v>
      </c>
      <c r="B98" s="40">
        <v>125</v>
      </c>
      <c r="C98" s="40">
        <v>40</v>
      </c>
      <c r="D98" s="40"/>
      <c r="E98" s="40">
        <v>165</v>
      </c>
    </row>
    <row r="99" spans="1:5" x14ac:dyDescent="0.75">
      <c r="A99" s="41" t="s">
        <v>357</v>
      </c>
      <c r="B99" s="40">
        <v>105</v>
      </c>
      <c r="C99" s="40"/>
      <c r="D99" s="40">
        <v>40</v>
      </c>
      <c r="E99" s="40">
        <v>145</v>
      </c>
    </row>
    <row r="100" spans="1:5" x14ac:dyDescent="0.75">
      <c r="A100" s="41" t="s">
        <v>358</v>
      </c>
      <c r="B100" s="40">
        <v>85</v>
      </c>
      <c r="C100" s="40">
        <v>40</v>
      </c>
      <c r="D100" s="40"/>
      <c r="E100" s="40">
        <v>125</v>
      </c>
    </row>
    <row r="101" spans="1:5" x14ac:dyDescent="0.75">
      <c r="A101" s="41" t="s">
        <v>359</v>
      </c>
      <c r="B101" s="40">
        <v>85</v>
      </c>
      <c r="C101" s="40"/>
      <c r="D101" s="40"/>
      <c r="E101" s="40">
        <v>85</v>
      </c>
    </row>
    <row r="102" spans="1:5" x14ac:dyDescent="0.75">
      <c r="A102" s="41" t="s">
        <v>104</v>
      </c>
      <c r="B102" s="40">
        <v>9685</v>
      </c>
      <c r="C102" s="40">
        <v>1990</v>
      </c>
      <c r="D102" s="40">
        <v>485</v>
      </c>
      <c r="E102" s="40">
        <v>12160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30" priority="2"/>
    <cfRule type="duplicateValues" dxfId="29" priority="3"/>
  </conditionalFormatting>
  <conditionalFormatting sqref="A1:A5">
    <cfRule type="duplicateValues" dxfId="28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1182-4BC7-42C2-A01C-A4CE61298B8F}">
  <sheetPr>
    <tabColor rgb="FFFF0000"/>
  </sheetPr>
  <dimension ref="A1:E86"/>
  <sheetViews>
    <sheetView topLeftCell="C1" workbookViewId="0">
      <selection activeCell="D11" sqref="D11"/>
    </sheetView>
  </sheetViews>
  <sheetFormatPr defaultColWidth="8.625" defaultRowHeight="14.75" x14ac:dyDescent="0.75"/>
  <cols>
    <col min="1" max="1" width="11.83203125" style="39" bestFit="1" customWidth="1"/>
    <col min="2" max="2" width="19.70703125" style="39" bestFit="1" customWidth="1"/>
    <col min="3" max="4" width="17" style="39" bestFit="1" customWidth="1"/>
    <col min="5" max="5" width="10.375" style="39" bestFit="1" customWidth="1"/>
    <col min="6" max="16384" width="8.625" style="39"/>
  </cols>
  <sheetData>
    <row r="1" spans="1:5" x14ac:dyDescent="0.75">
      <c r="A1" s="225" t="s">
        <v>86</v>
      </c>
      <c r="B1" s="226"/>
      <c r="C1" s="43" t="s">
        <v>88</v>
      </c>
      <c r="D1" s="230">
        <v>44771</v>
      </c>
      <c r="E1" s="231"/>
    </row>
    <row r="2" spans="1:5" x14ac:dyDescent="0.75">
      <c r="A2" s="225" t="s">
        <v>87</v>
      </c>
      <c r="B2" s="226"/>
      <c r="C2" s="43" t="s">
        <v>90</v>
      </c>
      <c r="D2" s="230">
        <v>44772</v>
      </c>
      <c r="E2" s="231"/>
    </row>
    <row r="3" spans="1:5" x14ac:dyDescent="0.75">
      <c r="A3" s="225" t="s">
        <v>89</v>
      </c>
      <c r="B3" s="226"/>
      <c r="C3" s="43" t="s">
        <v>92</v>
      </c>
      <c r="D3" s="227">
        <v>44</v>
      </c>
      <c r="E3" s="228"/>
    </row>
    <row r="4" spans="1:5" x14ac:dyDescent="0.75">
      <c r="A4" s="225" t="s">
        <v>91</v>
      </c>
      <c r="B4" s="226"/>
      <c r="C4" s="43" t="s">
        <v>94</v>
      </c>
      <c r="D4" s="227" t="s">
        <v>95</v>
      </c>
      <c r="E4" s="228"/>
    </row>
    <row r="5" spans="1:5" x14ac:dyDescent="0.75">
      <c r="A5" s="225" t="s">
        <v>93</v>
      </c>
      <c r="B5" s="226"/>
      <c r="C5" s="43" t="s">
        <v>109</v>
      </c>
      <c r="D5" s="229">
        <f>GETPIVOTDATA("Sum of Total",$A$6)</f>
        <v>10340</v>
      </c>
      <c r="E5" s="229"/>
    </row>
    <row r="6" spans="1:5" x14ac:dyDescent="0.75">
      <c r="A6" s="42" t="s">
        <v>103</v>
      </c>
      <c r="B6" s="42" t="s">
        <v>105</v>
      </c>
      <c r="C6" s="42" t="s">
        <v>106</v>
      </c>
      <c r="D6" s="42" t="s">
        <v>107</v>
      </c>
      <c r="E6" s="42" t="s">
        <v>108</v>
      </c>
    </row>
    <row r="7" spans="1:5" x14ac:dyDescent="0.75">
      <c r="A7" s="41" t="s">
        <v>191</v>
      </c>
      <c r="B7" s="40">
        <v>125</v>
      </c>
      <c r="C7" s="40"/>
      <c r="D7" s="40">
        <v>40</v>
      </c>
      <c r="E7" s="40">
        <v>165</v>
      </c>
    </row>
    <row r="8" spans="1:5" x14ac:dyDescent="0.75">
      <c r="A8" s="41" t="s">
        <v>192</v>
      </c>
      <c r="B8" s="40">
        <v>155</v>
      </c>
      <c r="C8" s="40"/>
      <c r="D8" s="40"/>
      <c r="E8" s="40">
        <v>155</v>
      </c>
    </row>
    <row r="9" spans="1:5" x14ac:dyDescent="0.75">
      <c r="A9" s="41" t="s">
        <v>193</v>
      </c>
      <c r="B9" s="40">
        <v>85</v>
      </c>
      <c r="C9" s="40"/>
      <c r="D9" s="40"/>
      <c r="E9" s="40">
        <v>85</v>
      </c>
    </row>
    <row r="10" spans="1:5" x14ac:dyDescent="0.75">
      <c r="A10" s="41" t="s">
        <v>177</v>
      </c>
      <c r="B10" s="40">
        <v>40</v>
      </c>
      <c r="C10" s="40"/>
      <c r="D10" s="40"/>
      <c r="E10" s="40">
        <v>40</v>
      </c>
    </row>
    <row r="11" spans="1:5" x14ac:dyDescent="0.75">
      <c r="A11" s="41" t="s">
        <v>194</v>
      </c>
      <c r="B11" s="40">
        <v>85</v>
      </c>
      <c r="C11" s="40"/>
      <c r="D11" s="40">
        <v>40</v>
      </c>
      <c r="E11" s="40">
        <v>125</v>
      </c>
    </row>
    <row r="12" spans="1:5" x14ac:dyDescent="0.75">
      <c r="A12" s="41" t="s">
        <v>195</v>
      </c>
      <c r="B12" s="40">
        <v>105</v>
      </c>
      <c r="C12" s="40"/>
      <c r="D12" s="40">
        <v>40</v>
      </c>
      <c r="E12" s="40">
        <v>145</v>
      </c>
    </row>
    <row r="13" spans="1:5" x14ac:dyDescent="0.75">
      <c r="A13" s="41" t="s">
        <v>196</v>
      </c>
      <c r="B13" s="40">
        <v>105</v>
      </c>
      <c r="C13" s="40"/>
      <c r="D13" s="40">
        <v>40</v>
      </c>
      <c r="E13" s="40">
        <v>145</v>
      </c>
    </row>
    <row r="14" spans="1:5" x14ac:dyDescent="0.75">
      <c r="A14" s="41" t="s">
        <v>197</v>
      </c>
      <c r="B14" s="40">
        <v>155</v>
      </c>
      <c r="C14" s="40"/>
      <c r="D14" s="40">
        <v>40</v>
      </c>
      <c r="E14" s="40">
        <v>195</v>
      </c>
    </row>
    <row r="15" spans="1:5" x14ac:dyDescent="0.75">
      <c r="A15" s="41" t="s">
        <v>198</v>
      </c>
      <c r="B15" s="40">
        <v>125</v>
      </c>
      <c r="C15" s="40">
        <v>40</v>
      </c>
      <c r="D15" s="40"/>
      <c r="E15" s="40">
        <v>165</v>
      </c>
    </row>
    <row r="16" spans="1:5" x14ac:dyDescent="0.75">
      <c r="A16" s="41" t="s">
        <v>199</v>
      </c>
      <c r="B16" s="40">
        <v>85</v>
      </c>
      <c r="C16" s="40">
        <v>40</v>
      </c>
      <c r="D16" s="40"/>
      <c r="E16" s="40">
        <v>125</v>
      </c>
    </row>
    <row r="17" spans="1:5" x14ac:dyDescent="0.75">
      <c r="A17" s="41" t="s">
        <v>200</v>
      </c>
      <c r="B17" s="40">
        <v>125</v>
      </c>
      <c r="C17" s="40">
        <v>40</v>
      </c>
      <c r="D17" s="40"/>
      <c r="E17" s="40">
        <v>165</v>
      </c>
    </row>
    <row r="18" spans="1:5" x14ac:dyDescent="0.75">
      <c r="A18" s="41" t="s">
        <v>201</v>
      </c>
      <c r="B18" s="40">
        <v>85</v>
      </c>
      <c r="C18" s="40"/>
      <c r="D18" s="40"/>
      <c r="E18" s="40">
        <v>85</v>
      </c>
    </row>
    <row r="19" spans="1:5" x14ac:dyDescent="0.75">
      <c r="A19" s="41" t="s">
        <v>202</v>
      </c>
      <c r="B19" s="40">
        <v>85</v>
      </c>
      <c r="C19" s="40"/>
      <c r="D19" s="40"/>
      <c r="E19" s="40">
        <v>85</v>
      </c>
    </row>
    <row r="20" spans="1:5" x14ac:dyDescent="0.75">
      <c r="A20" s="41" t="s">
        <v>203</v>
      </c>
      <c r="B20" s="40">
        <v>105</v>
      </c>
      <c r="C20" s="40"/>
      <c r="D20" s="40">
        <v>40</v>
      </c>
      <c r="E20" s="40">
        <v>145</v>
      </c>
    </row>
    <row r="21" spans="1:5" x14ac:dyDescent="0.75">
      <c r="A21" s="41" t="s">
        <v>204</v>
      </c>
      <c r="B21" s="40">
        <v>105</v>
      </c>
      <c r="C21" s="40">
        <v>40</v>
      </c>
      <c r="D21" s="40"/>
      <c r="E21" s="40">
        <v>145</v>
      </c>
    </row>
    <row r="22" spans="1:5" x14ac:dyDescent="0.75">
      <c r="A22" s="41" t="s">
        <v>205</v>
      </c>
      <c r="B22" s="40">
        <v>85</v>
      </c>
      <c r="C22" s="40">
        <v>40</v>
      </c>
      <c r="D22" s="40"/>
      <c r="E22" s="40">
        <v>125</v>
      </c>
    </row>
    <row r="23" spans="1:5" x14ac:dyDescent="0.75">
      <c r="A23" s="41" t="s">
        <v>206</v>
      </c>
      <c r="B23" s="40">
        <v>85</v>
      </c>
      <c r="C23" s="40"/>
      <c r="D23" s="40"/>
      <c r="E23" s="40">
        <v>85</v>
      </c>
    </row>
    <row r="24" spans="1:5" x14ac:dyDescent="0.75">
      <c r="A24" s="41" t="s">
        <v>207</v>
      </c>
      <c r="B24" s="40">
        <v>125</v>
      </c>
      <c r="C24" s="40">
        <v>40</v>
      </c>
      <c r="D24" s="40"/>
      <c r="E24" s="40">
        <v>165</v>
      </c>
    </row>
    <row r="25" spans="1:5" x14ac:dyDescent="0.75">
      <c r="A25" s="41" t="s">
        <v>208</v>
      </c>
      <c r="B25" s="40">
        <v>125</v>
      </c>
      <c r="C25" s="40">
        <v>40</v>
      </c>
      <c r="D25" s="40"/>
      <c r="E25" s="40">
        <v>165</v>
      </c>
    </row>
    <row r="26" spans="1:5" x14ac:dyDescent="0.75">
      <c r="A26" s="41" t="s">
        <v>209</v>
      </c>
      <c r="B26" s="40">
        <v>125</v>
      </c>
      <c r="C26" s="40">
        <v>40</v>
      </c>
      <c r="D26" s="40"/>
      <c r="E26" s="40">
        <v>165</v>
      </c>
    </row>
    <row r="27" spans="1:5" x14ac:dyDescent="0.75">
      <c r="A27" s="41" t="s">
        <v>210</v>
      </c>
      <c r="B27" s="40">
        <v>125</v>
      </c>
      <c r="C27" s="40">
        <v>40</v>
      </c>
      <c r="D27" s="40"/>
      <c r="E27" s="40">
        <v>165</v>
      </c>
    </row>
    <row r="28" spans="1:5" x14ac:dyDescent="0.75">
      <c r="A28" s="41" t="s">
        <v>211</v>
      </c>
      <c r="B28" s="40">
        <v>125</v>
      </c>
      <c r="C28" s="40">
        <v>40</v>
      </c>
      <c r="D28" s="40"/>
      <c r="E28" s="40">
        <v>165</v>
      </c>
    </row>
    <row r="29" spans="1:5" x14ac:dyDescent="0.75">
      <c r="A29" s="41" t="s">
        <v>212</v>
      </c>
      <c r="B29" s="40">
        <v>85</v>
      </c>
      <c r="C29" s="40"/>
      <c r="D29" s="40"/>
      <c r="E29" s="40">
        <v>85</v>
      </c>
    </row>
    <row r="30" spans="1:5" x14ac:dyDescent="0.75">
      <c r="A30" s="41" t="s">
        <v>213</v>
      </c>
      <c r="B30" s="40">
        <v>125</v>
      </c>
      <c r="C30" s="40"/>
      <c r="D30" s="40"/>
      <c r="E30" s="40">
        <v>125</v>
      </c>
    </row>
    <row r="31" spans="1:5" x14ac:dyDescent="0.75">
      <c r="A31" s="41" t="s">
        <v>214</v>
      </c>
      <c r="B31" s="40">
        <v>105</v>
      </c>
      <c r="C31" s="40"/>
      <c r="D31" s="40">
        <v>40</v>
      </c>
      <c r="E31" s="40">
        <v>145</v>
      </c>
    </row>
    <row r="32" spans="1:5" x14ac:dyDescent="0.75">
      <c r="A32" s="41" t="s">
        <v>215</v>
      </c>
      <c r="B32" s="40">
        <v>85</v>
      </c>
      <c r="C32" s="40"/>
      <c r="D32" s="40">
        <v>40</v>
      </c>
      <c r="E32" s="40">
        <v>125</v>
      </c>
    </row>
    <row r="33" spans="1:5" x14ac:dyDescent="0.75">
      <c r="A33" s="41" t="s">
        <v>216</v>
      </c>
      <c r="B33" s="40">
        <v>85</v>
      </c>
      <c r="C33" s="40">
        <v>40</v>
      </c>
      <c r="D33" s="40"/>
      <c r="E33" s="40">
        <v>125</v>
      </c>
    </row>
    <row r="34" spans="1:5" x14ac:dyDescent="0.75">
      <c r="A34" s="41" t="s">
        <v>217</v>
      </c>
      <c r="B34" s="40">
        <v>85</v>
      </c>
      <c r="C34" s="40"/>
      <c r="D34" s="40"/>
      <c r="E34" s="40">
        <v>85</v>
      </c>
    </row>
    <row r="35" spans="1:5" x14ac:dyDescent="0.75">
      <c r="A35" s="41" t="s">
        <v>218</v>
      </c>
      <c r="B35" s="40">
        <v>40</v>
      </c>
      <c r="C35" s="40"/>
      <c r="D35" s="40"/>
      <c r="E35" s="40">
        <v>40</v>
      </c>
    </row>
    <row r="36" spans="1:5" x14ac:dyDescent="0.75">
      <c r="A36" s="41" t="s">
        <v>219</v>
      </c>
      <c r="B36" s="40">
        <v>125</v>
      </c>
      <c r="C36" s="40"/>
      <c r="D36" s="40"/>
      <c r="E36" s="40">
        <v>125</v>
      </c>
    </row>
    <row r="37" spans="1:5" x14ac:dyDescent="0.75">
      <c r="A37" s="41" t="s">
        <v>220</v>
      </c>
      <c r="B37" s="40">
        <v>155</v>
      </c>
      <c r="C37" s="40">
        <v>40</v>
      </c>
      <c r="D37" s="40"/>
      <c r="E37" s="40">
        <v>195</v>
      </c>
    </row>
    <row r="38" spans="1:5" x14ac:dyDescent="0.75">
      <c r="A38" s="41" t="s">
        <v>221</v>
      </c>
      <c r="B38" s="40">
        <v>40</v>
      </c>
      <c r="C38" s="40"/>
      <c r="D38" s="40"/>
      <c r="E38" s="40">
        <v>40</v>
      </c>
    </row>
    <row r="39" spans="1:5" x14ac:dyDescent="0.75">
      <c r="A39" s="41" t="s">
        <v>222</v>
      </c>
      <c r="B39" s="40">
        <v>125</v>
      </c>
      <c r="C39" s="40">
        <v>45</v>
      </c>
      <c r="D39" s="40">
        <v>40</v>
      </c>
      <c r="E39" s="40">
        <v>210</v>
      </c>
    </row>
    <row r="40" spans="1:5" x14ac:dyDescent="0.75">
      <c r="A40" s="41" t="s">
        <v>223</v>
      </c>
      <c r="B40" s="40">
        <v>125</v>
      </c>
      <c r="C40" s="40"/>
      <c r="D40" s="40"/>
      <c r="E40" s="40">
        <v>125</v>
      </c>
    </row>
    <row r="41" spans="1:5" x14ac:dyDescent="0.75">
      <c r="A41" s="41" t="s">
        <v>224</v>
      </c>
      <c r="B41" s="40">
        <v>40</v>
      </c>
      <c r="C41" s="40"/>
      <c r="D41" s="40"/>
      <c r="E41" s="40">
        <v>40</v>
      </c>
    </row>
    <row r="42" spans="1:5" x14ac:dyDescent="0.75">
      <c r="A42" s="41" t="s">
        <v>225</v>
      </c>
      <c r="B42" s="40">
        <v>185</v>
      </c>
      <c r="C42" s="40"/>
      <c r="D42" s="40">
        <v>40</v>
      </c>
      <c r="E42" s="40">
        <v>225</v>
      </c>
    </row>
    <row r="43" spans="1:5" x14ac:dyDescent="0.75">
      <c r="A43" s="41" t="s">
        <v>226</v>
      </c>
      <c r="B43" s="40">
        <v>40</v>
      </c>
      <c r="C43" s="40"/>
      <c r="D43" s="40"/>
      <c r="E43" s="40">
        <v>40</v>
      </c>
    </row>
    <row r="44" spans="1:5" x14ac:dyDescent="0.75">
      <c r="A44" s="41" t="s">
        <v>227</v>
      </c>
      <c r="B44" s="40">
        <v>125</v>
      </c>
      <c r="C44" s="40">
        <v>40</v>
      </c>
      <c r="D44" s="40"/>
      <c r="E44" s="40">
        <v>165</v>
      </c>
    </row>
    <row r="45" spans="1:5" x14ac:dyDescent="0.75">
      <c r="A45" s="41" t="s">
        <v>228</v>
      </c>
      <c r="B45" s="40">
        <v>105</v>
      </c>
      <c r="C45" s="40"/>
      <c r="D45" s="40"/>
      <c r="E45" s="40">
        <v>105</v>
      </c>
    </row>
    <row r="46" spans="1:5" x14ac:dyDescent="0.75">
      <c r="A46" s="41" t="s">
        <v>229</v>
      </c>
      <c r="B46" s="40">
        <v>85</v>
      </c>
      <c r="C46" s="40"/>
      <c r="D46" s="40"/>
      <c r="E46" s="40">
        <v>85</v>
      </c>
    </row>
    <row r="47" spans="1:5" x14ac:dyDescent="0.75">
      <c r="A47" s="41" t="s">
        <v>230</v>
      </c>
      <c r="B47" s="40">
        <v>105</v>
      </c>
      <c r="C47" s="40"/>
      <c r="D47" s="40">
        <v>40</v>
      </c>
      <c r="E47" s="40">
        <v>145</v>
      </c>
    </row>
    <row r="48" spans="1:5" x14ac:dyDescent="0.75">
      <c r="A48" s="41" t="s">
        <v>231</v>
      </c>
      <c r="B48" s="40">
        <v>85</v>
      </c>
      <c r="C48" s="40"/>
      <c r="D48" s="40"/>
      <c r="E48" s="40">
        <v>85</v>
      </c>
    </row>
    <row r="49" spans="1:5" x14ac:dyDescent="0.75">
      <c r="A49" s="41" t="s">
        <v>232</v>
      </c>
      <c r="B49" s="40">
        <v>125</v>
      </c>
      <c r="C49" s="40">
        <v>40</v>
      </c>
      <c r="D49" s="40"/>
      <c r="E49" s="40">
        <v>165</v>
      </c>
    </row>
    <row r="50" spans="1:5" x14ac:dyDescent="0.75">
      <c r="A50" s="41" t="s">
        <v>233</v>
      </c>
      <c r="B50" s="40">
        <v>125</v>
      </c>
      <c r="C50" s="40">
        <v>40</v>
      </c>
      <c r="D50" s="40"/>
      <c r="E50" s="40">
        <v>165</v>
      </c>
    </row>
    <row r="51" spans="1:5" x14ac:dyDescent="0.75">
      <c r="A51" s="41" t="s">
        <v>234</v>
      </c>
      <c r="B51" s="40">
        <v>85</v>
      </c>
      <c r="C51" s="40">
        <v>40</v>
      </c>
      <c r="D51" s="40"/>
      <c r="E51" s="40">
        <v>125</v>
      </c>
    </row>
    <row r="52" spans="1:5" x14ac:dyDescent="0.75">
      <c r="A52" s="41" t="s">
        <v>235</v>
      </c>
      <c r="B52" s="40">
        <v>125</v>
      </c>
      <c r="C52" s="40">
        <v>40</v>
      </c>
      <c r="D52" s="40"/>
      <c r="E52" s="40">
        <v>165</v>
      </c>
    </row>
    <row r="53" spans="1:5" x14ac:dyDescent="0.75">
      <c r="A53" s="41" t="s">
        <v>236</v>
      </c>
      <c r="B53" s="40">
        <v>125</v>
      </c>
      <c r="C53" s="40">
        <v>40</v>
      </c>
      <c r="D53" s="40"/>
      <c r="E53" s="40">
        <v>165</v>
      </c>
    </row>
    <row r="54" spans="1:5" x14ac:dyDescent="0.75">
      <c r="A54" s="41" t="s">
        <v>237</v>
      </c>
      <c r="B54" s="40">
        <v>125</v>
      </c>
      <c r="C54" s="40">
        <v>40</v>
      </c>
      <c r="D54" s="40"/>
      <c r="E54" s="40">
        <v>165</v>
      </c>
    </row>
    <row r="55" spans="1:5" x14ac:dyDescent="0.75">
      <c r="A55" s="41" t="s">
        <v>238</v>
      </c>
      <c r="B55" s="40">
        <v>125</v>
      </c>
      <c r="C55" s="40"/>
      <c r="D55" s="40"/>
      <c r="E55" s="40">
        <v>125</v>
      </c>
    </row>
    <row r="56" spans="1:5" x14ac:dyDescent="0.75">
      <c r="A56" s="41" t="s">
        <v>239</v>
      </c>
      <c r="B56" s="40">
        <v>125</v>
      </c>
      <c r="C56" s="40"/>
      <c r="D56" s="40"/>
      <c r="E56" s="40">
        <v>125</v>
      </c>
    </row>
    <row r="57" spans="1:5" x14ac:dyDescent="0.75">
      <c r="A57" s="41" t="s">
        <v>240</v>
      </c>
      <c r="B57" s="40">
        <v>125</v>
      </c>
      <c r="C57" s="40"/>
      <c r="D57" s="40"/>
      <c r="E57" s="40">
        <v>125</v>
      </c>
    </row>
    <row r="58" spans="1:5" x14ac:dyDescent="0.75">
      <c r="A58" s="41" t="s">
        <v>241</v>
      </c>
      <c r="B58" s="40">
        <v>125</v>
      </c>
      <c r="C58" s="40">
        <v>40</v>
      </c>
      <c r="D58" s="40"/>
      <c r="E58" s="40">
        <v>165</v>
      </c>
    </row>
    <row r="59" spans="1:5" x14ac:dyDescent="0.75">
      <c r="A59" s="41" t="s">
        <v>242</v>
      </c>
      <c r="B59" s="40">
        <v>125</v>
      </c>
      <c r="C59" s="40"/>
      <c r="D59" s="40">
        <v>40</v>
      </c>
      <c r="E59" s="40">
        <v>165</v>
      </c>
    </row>
    <row r="60" spans="1:5" x14ac:dyDescent="0.75">
      <c r="A60" s="41" t="s">
        <v>243</v>
      </c>
      <c r="B60" s="40">
        <v>125</v>
      </c>
      <c r="C60" s="40">
        <v>40</v>
      </c>
      <c r="D60" s="40"/>
      <c r="E60" s="40">
        <v>165</v>
      </c>
    </row>
    <row r="61" spans="1:5" x14ac:dyDescent="0.75">
      <c r="A61" s="41" t="s">
        <v>244</v>
      </c>
      <c r="B61" s="40">
        <v>125</v>
      </c>
      <c r="C61" s="40"/>
      <c r="D61" s="40"/>
      <c r="E61" s="40">
        <v>125</v>
      </c>
    </row>
    <row r="62" spans="1:5" x14ac:dyDescent="0.75">
      <c r="A62" s="41" t="s">
        <v>245</v>
      </c>
      <c r="B62" s="40">
        <v>40</v>
      </c>
      <c r="C62" s="40"/>
      <c r="D62" s="40"/>
      <c r="E62" s="40">
        <v>40</v>
      </c>
    </row>
    <row r="63" spans="1:5" x14ac:dyDescent="0.75">
      <c r="A63" s="41" t="s">
        <v>246</v>
      </c>
      <c r="B63" s="40">
        <v>125</v>
      </c>
      <c r="C63" s="40"/>
      <c r="D63" s="40"/>
      <c r="E63" s="40">
        <v>125</v>
      </c>
    </row>
    <row r="64" spans="1:5" x14ac:dyDescent="0.75">
      <c r="A64" s="41" t="s">
        <v>247</v>
      </c>
      <c r="B64" s="40">
        <v>155</v>
      </c>
      <c r="C64" s="40">
        <v>40</v>
      </c>
      <c r="D64" s="40">
        <v>45</v>
      </c>
      <c r="E64" s="40">
        <v>240</v>
      </c>
    </row>
    <row r="65" spans="1:5" x14ac:dyDescent="0.75">
      <c r="A65" s="41" t="s">
        <v>248</v>
      </c>
      <c r="B65" s="40">
        <v>125</v>
      </c>
      <c r="C65" s="40"/>
      <c r="D65" s="40">
        <v>40</v>
      </c>
      <c r="E65" s="40">
        <v>165</v>
      </c>
    </row>
    <row r="66" spans="1:5" x14ac:dyDescent="0.75">
      <c r="A66" s="41" t="s">
        <v>249</v>
      </c>
      <c r="B66" s="40">
        <v>40</v>
      </c>
      <c r="C66" s="40"/>
      <c r="D66" s="40"/>
      <c r="E66" s="40">
        <v>40</v>
      </c>
    </row>
    <row r="67" spans="1:5" x14ac:dyDescent="0.75">
      <c r="A67" s="41" t="s">
        <v>250</v>
      </c>
      <c r="B67" s="40">
        <v>125</v>
      </c>
      <c r="C67" s="40">
        <v>40</v>
      </c>
      <c r="D67" s="40"/>
      <c r="E67" s="40">
        <v>165</v>
      </c>
    </row>
    <row r="68" spans="1:5" x14ac:dyDescent="0.75">
      <c r="A68" s="41" t="s">
        <v>251</v>
      </c>
      <c r="B68" s="40">
        <v>125</v>
      </c>
      <c r="C68" s="40">
        <v>40</v>
      </c>
      <c r="D68" s="40"/>
      <c r="E68" s="40">
        <v>165</v>
      </c>
    </row>
    <row r="69" spans="1:5" x14ac:dyDescent="0.75">
      <c r="A69" s="41" t="s">
        <v>252</v>
      </c>
      <c r="B69" s="40">
        <v>125</v>
      </c>
      <c r="C69" s="40"/>
      <c r="D69" s="40"/>
      <c r="E69" s="40">
        <v>125</v>
      </c>
    </row>
    <row r="70" spans="1:5" x14ac:dyDescent="0.75">
      <c r="A70" s="41" t="s">
        <v>253</v>
      </c>
      <c r="B70" s="40">
        <v>85</v>
      </c>
      <c r="C70" s="40">
        <v>40</v>
      </c>
      <c r="D70" s="40"/>
      <c r="E70" s="40">
        <v>125</v>
      </c>
    </row>
    <row r="71" spans="1:5" x14ac:dyDescent="0.75">
      <c r="A71" s="41" t="s">
        <v>254</v>
      </c>
      <c r="B71" s="40">
        <v>125</v>
      </c>
      <c r="C71" s="40">
        <v>40</v>
      </c>
      <c r="D71" s="40"/>
      <c r="E71" s="40">
        <v>165</v>
      </c>
    </row>
    <row r="72" spans="1:5" x14ac:dyDescent="0.75">
      <c r="A72" s="41" t="s">
        <v>255</v>
      </c>
      <c r="B72" s="40">
        <v>125</v>
      </c>
      <c r="C72" s="40"/>
      <c r="D72" s="40">
        <v>40</v>
      </c>
      <c r="E72" s="40">
        <v>165</v>
      </c>
    </row>
    <row r="73" spans="1:5" x14ac:dyDescent="0.75">
      <c r="A73" s="41" t="s">
        <v>256</v>
      </c>
      <c r="B73" s="40">
        <v>155</v>
      </c>
      <c r="C73" s="40">
        <v>40</v>
      </c>
      <c r="D73" s="40"/>
      <c r="E73" s="40">
        <v>195</v>
      </c>
    </row>
    <row r="74" spans="1:5" x14ac:dyDescent="0.75">
      <c r="A74" s="41" t="s">
        <v>257</v>
      </c>
      <c r="B74" s="40">
        <v>85</v>
      </c>
      <c r="C74" s="40"/>
      <c r="D74" s="40">
        <v>40</v>
      </c>
      <c r="E74" s="40">
        <v>125</v>
      </c>
    </row>
    <row r="75" spans="1:5" x14ac:dyDescent="0.75">
      <c r="A75" s="41" t="s">
        <v>258</v>
      </c>
      <c r="B75" s="40">
        <v>85</v>
      </c>
      <c r="C75" s="40"/>
      <c r="D75" s="40"/>
      <c r="E75" s="40">
        <v>85</v>
      </c>
    </row>
    <row r="76" spans="1:5" x14ac:dyDescent="0.75">
      <c r="A76" s="41" t="s">
        <v>259</v>
      </c>
      <c r="B76" s="40">
        <v>125</v>
      </c>
      <c r="C76" s="40"/>
      <c r="D76" s="40"/>
      <c r="E76" s="40">
        <v>125</v>
      </c>
    </row>
    <row r="77" spans="1:5" x14ac:dyDescent="0.75">
      <c r="A77" s="41" t="s">
        <v>260</v>
      </c>
      <c r="B77" s="40">
        <v>125</v>
      </c>
      <c r="C77" s="40">
        <v>40</v>
      </c>
      <c r="D77" s="40"/>
      <c r="E77" s="40">
        <v>165</v>
      </c>
    </row>
    <row r="78" spans="1:5" x14ac:dyDescent="0.75">
      <c r="A78" s="41" t="s">
        <v>261</v>
      </c>
      <c r="B78" s="40">
        <v>85</v>
      </c>
      <c r="C78" s="40"/>
      <c r="D78" s="40"/>
      <c r="E78" s="40">
        <v>85</v>
      </c>
    </row>
    <row r="79" spans="1:5" x14ac:dyDescent="0.75">
      <c r="A79" s="41" t="s">
        <v>262</v>
      </c>
      <c r="B79" s="40">
        <v>125</v>
      </c>
      <c r="C79" s="40"/>
      <c r="D79" s="40"/>
      <c r="E79" s="40">
        <v>125</v>
      </c>
    </row>
    <row r="80" spans="1:5" x14ac:dyDescent="0.75">
      <c r="A80" s="41" t="s">
        <v>263</v>
      </c>
      <c r="B80" s="40">
        <v>105</v>
      </c>
      <c r="C80" s="40">
        <v>40</v>
      </c>
      <c r="D80" s="40"/>
      <c r="E80" s="40">
        <v>145</v>
      </c>
    </row>
    <row r="81" spans="1:5" x14ac:dyDescent="0.75">
      <c r="A81" s="41" t="s">
        <v>264</v>
      </c>
      <c r="B81" s="40">
        <v>85</v>
      </c>
      <c r="C81" s="40"/>
      <c r="D81" s="40"/>
      <c r="E81" s="40">
        <v>85</v>
      </c>
    </row>
    <row r="82" spans="1:5" x14ac:dyDescent="0.75">
      <c r="A82" s="41" t="s">
        <v>265</v>
      </c>
      <c r="B82" s="40">
        <v>85</v>
      </c>
      <c r="C82" s="40"/>
      <c r="D82" s="40"/>
      <c r="E82" s="40">
        <v>85</v>
      </c>
    </row>
    <row r="83" spans="1:5" x14ac:dyDescent="0.75">
      <c r="A83" s="41" t="s">
        <v>266</v>
      </c>
      <c r="B83" s="40">
        <v>85</v>
      </c>
      <c r="C83" s="40"/>
      <c r="D83" s="40"/>
      <c r="E83" s="40">
        <v>85</v>
      </c>
    </row>
    <row r="84" spans="1:5" x14ac:dyDescent="0.75">
      <c r="A84" s="41" t="s">
        <v>267</v>
      </c>
      <c r="B84" s="40">
        <v>125</v>
      </c>
      <c r="C84" s="40"/>
      <c r="D84" s="40">
        <v>40</v>
      </c>
      <c r="E84" s="40">
        <v>165</v>
      </c>
    </row>
    <row r="85" spans="1:5" x14ac:dyDescent="0.75">
      <c r="A85" s="41" t="s">
        <v>268</v>
      </c>
      <c r="B85" s="40">
        <v>85</v>
      </c>
      <c r="C85" s="40"/>
      <c r="D85" s="40"/>
      <c r="E85" s="40">
        <v>85</v>
      </c>
    </row>
    <row r="86" spans="1:5" x14ac:dyDescent="0.75">
      <c r="A86" s="41" t="s">
        <v>104</v>
      </c>
      <c r="B86" s="40">
        <v>8450</v>
      </c>
      <c r="C86" s="40">
        <v>1205</v>
      </c>
      <c r="D86" s="40">
        <v>685</v>
      </c>
      <c r="E86" s="40">
        <v>10340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27" priority="3"/>
    <cfRule type="duplicateValues" dxfId="26" priority="4"/>
  </conditionalFormatting>
  <conditionalFormatting sqref="A1:A1048576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2A39-AD12-4839-8DD8-6E2DD46BA61B}">
  <sheetPr>
    <tabColor rgb="FFFF0000"/>
    <pageSetUpPr fitToPage="1"/>
  </sheetPr>
  <dimension ref="A1:E91"/>
  <sheetViews>
    <sheetView topLeftCell="B1" workbookViewId="0">
      <selection activeCell="K8" sqref="K8"/>
    </sheetView>
  </sheetViews>
  <sheetFormatPr defaultRowHeight="16" x14ac:dyDescent="0.8"/>
  <cols>
    <col min="1" max="1" width="12.875" bestFit="1" customWidth="1"/>
    <col min="2" max="2" width="21.2890625" bestFit="1" customWidth="1"/>
    <col min="3" max="4" width="18.45703125" bestFit="1" customWidth="1"/>
    <col min="5" max="5" width="11.20703125" bestFit="1" customWidth="1"/>
  </cols>
  <sheetData>
    <row r="1" spans="1:5" s="39" customFormat="1" ht="14.75" x14ac:dyDescent="0.75">
      <c r="A1" s="225" t="s">
        <v>86</v>
      </c>
      <c r="B1" s="226"/>
      <c r="C1" s="43" t="s">
        <v>88</v>
      </c>
      <c r="D1" s="230">
        <v>44780</v>
      </c>
      <c r="E1" s="231"/>
    </row>
    <row r="2" spans="1:5" s="39" customFormat="1" ht="14.75" x14ac:dyDescent="0.75">
      <c r="A2" s="225" t="s">
        <v>87</v>
      </c>
      <c r="B2" s="226"/>
      <c r="C2" s="43" t="s">
        <v>90</v>
      </c>
      <c r="D2" s="230">
        <v>44779</v>
      </c>
      <c r="E2" s="231"/>
    </row>
    <row r="3" spans="1:5" s="39" customFormat="1" ht="12.65" customHeight="1" x14ac:dyDescent="0.75">
      <c r="A3" s="225" t="s">
        <v>89</v>
      </c>
      <c r="B3" s="226"/>
      <c r="C3" s="43" t="s">
        <v>92</v>
      </c>
      <c r="D3" s="227">
        <v>45</v>
      </c>
      <c r="E3" s="228"/>
    </row>
    <row r="4" spans="1:5" s="39" customFormat="1" ht="12.65" customHeight="1" x14ac:dyDescent="0.75">
      <c r="A4" s="225" t="s">
        <v>91</v>
      </c>
      <c r="B4" s="226"/>
      <c r="C4" s="43" t="s">
        <v>94</v>
      </c>
      <c r="D4" s="227" t="s">
        <v>95</v>
      </c>
      <c r="E4" s="228"/>
    </row>
    <row r="5" spans="1:5" s="39" customFormat="1" ht="12.65" customHeight="1" x14ac:dyDescent="0.75">
      <c r="A5" s="225" t="s">
        <v>93</v>
      </c>
      <c r="B5" s="226"/>
      <c r="C5" s="43" t="s">
        <v>109</v>
      </c>
      <c r="D5" s="229">
        <f>GETPIVOTDATA("Sum of Total",$A$6)</f>
        <v>10915</v>
      </c>
      <c r="E5" s="229"/>
    </row>
    <row r="6" spans="1:5" x14ac:dyDescent="0.8">
      <c r="A6" s="110" t="s">
        <v>103</v>
      </c>
      <c r="B6" s="111" t="s">
        <v>105</v>
      </c>
      <c r="C6" s="111" t="s">
        <v>106</v>
      </c>
      <c r="D6" s="111" t="s">
        <v>107</v>
      </c>
      <c r="E6" s="111" t="s">
        <v>108</v>
      </c>
    </row>
    <row r="7" spans="1:5" x14ac:dyDescent="0.8">
      <c r="A7" s="37" t="s">
        <v>394</v>
      </c>
      <c r="B7" s="14">
        <v>125</v>
      </c>
      <c r="C7" s="14"/>
      <c r="D7" s="14"/>
      <c r="E7" s="14">
        <v>125</v>
      </c>
    </row>
    <row r="8" spans="1:5" x14ac:dyDescent="0.8">
      <c r="A8" s="37" t="s">
        <v>417</v>
      </c>
      <c r="B8" s="14">
        <v>85</v>
      </c>
      <c r="C8" s="14">
        <v>40</v>
      </c>
      <c r="D8" s="14"/>
      <c r="E8" s="14">
        <v>125</v>
      </c>
    </row>
    <row r="9" spans="1:5" x14ac:dyDescent="0.8">
      <c r="A9" s="37" t="s">
        <v>399</v>
      </c>
      <c r="B9" s="14">
        <v>125</v>
      </c>
      <c r="C9" s="14">
        <v>40</v>
      </c>
      <c r="D9" s="14"/>
      <c r="E9" s="14">
        <v>165</v>
      </c>
    </row>
    <row r="10" spans="1:5" x14ac:dyDescent="0.8">
      <c r="A10" s="37" t="s">
        <v>425</v>
      </c>
      <c r="B10" s="14">
        <v>125</v>
      </c>
      <c r="C10" s="14">
        <v>40</v>
      </c>
      <c r="D10" s="14"/>
      <c r="E10" s="14">
        <v>165</v>
      </c>
    </row>
    <row r="11" spans="1:5" x14ac:dyDescent="0.8">
      <c r="A11" s="37" t="s">
        <v>423</v>
      </c>
      <c r="B11" s="14">
        <v>125</v>
      </c>
      <c r="C11" s="14">
        <v>40</v>
      </c>
      <c r="D11" s="14"/>
      <c r="E11" s="14">
        <v>165</v>
      </c>
    </row>
    <row r="12" spans="1:5" x14ac:dyDescent="0.8">
      <c r="A12" s="37" t="s">
        <v>409</v>
      </c>
      <c r="B12" s="14">
        <v>125</v>
      </c>
      <c r="C12" s="14">
        <v>40</v>
      </c>
      <c r="D12" s="14"/>
      <c r="E12" s="14">
        <v>165</v>
      </c>
    </row>
    <row r="13" spans="1:5" x14ac:dyDescent="0.8">
      <c r="A13" s="37" t="s">
        <v>405</v>
      </c>
      <c r="B13" s="14">
        <v>125</v>
      </c>
      <c r="C13" s="14">
        <v>40</v>
      </c>
      <c r="D13" s="14"/>
      <c r="E13" s="14">
        <v>165</v>
      </c>
    </row>
    <row r="14" spans="1:5" x14ac:dyDescent="0.8">
      <c r="A14" s="37" t="s">
        <v>395</v>
      </c>
      <c r="B14" s="14">
        <v>185</v>
      </c>
      <c r="C14" s="14">
        <v>40</v>
      </c>
      <c r="D14" s="14"/>
      <c r="E14" s="14">
        <v>225</v>
      </c>
    </row>
    <row r="15" spans="1:5" x14ac:dyDescent="0.8">
      <c r="A15" s="37" t="s">
        <v>436</v>
      </c>
      <c r="B15" s="14">
        <v>85</v>
      </c>
      <c r="C15" s="14">
        <v>40</v>
      </c>
      <c r="D15" s="14"/>
      <c r="E15" s="14">
        <v>125</v>
      </c>
    </row>
    <row r="16" spans="1:5" x14ac:dyDescent="0.8">
      <c r="A16" s="37" t="s">
        <v>403</v>
      </c>
      <c r="B16" s="14">
        <v>125</v>
      </c>
      <c r="C16" s="14">
        <v>40</v>
      </c>
      <c r="D16" s="14"/>
      <c r="E16" s="14">
        <v>165</v>
      </c>
    </row>
    <row r="17" spans="1:5" x14ac:dyDescent="0.8">
      <c r="A17" s="37" t="s">
        <v>433</v>
      </c>
      <c r="B17" s="14">
        <v>105</v>
      </c>
      <c r="C17" s="14"/>
      <c r="D17" s="14">
        <v>40</v>
      </c>
      <c r="E17" s="14">
        <v>145</v>
      </c>
    </row>
    <row r="18" spans="1:5" x14ac:dyDescent="0.8">
      <c r="A18" s="37" t="s">
        <v>393</v>
      </c>
      <c r="B18" s="14">
        <v>125</v>
      </c>
      <c r="C18" s="14">
        <v>40</v>
      </c>
      <c r="D18" s="14"/>
      <c r="E18" s="14">
        <v>165</v>
      </c>
    </row>
    <row r="19" spans="1:5" x14ac:dyDescent="0.8">
      <c r="A19" s="37" t="s">
        <v>392</v>
      </c>
      <c r="B19" s="14">
        <v>105</v>
      </c>
      <c r="C19" s="14"/>
      <c r="D19" s="14"/>
      <c r="E19" s="14">
        <v>105</v>
      </c>
    </row>
    <row r="20" spans="1:5" x14ac:dyDescent="0.8">
      <c r="A20" s="37" t="s">
        <v>401</v>
      </c>
      <c r="B20" s="14">
        <v>125</v>
      </c>
      <c r="C20" s="14">
        <v>40</v>
      </c>
      <c r="D20" s="14">
        <v>45</v>
      </c>
      <c r="E20" s="14">
        <v>210</v>
      </c>
    </row>
    <row r="21" spans="1:5" x14ac:dyDescent="0.8">
      <c r="A21" s="37" t="s">
        <v>441</v>
      </c>
      <c r="B21" s="14">
        <v>125</v>
      </c>
      <c r="C21" s="14">
        <v>40</v>
      </c>
      <c r="D21" s="14"/>
      <c r="E21" s="14">
        <v>165</v>
      </c>
    </row>
    <row r="22" spans="1:5" x14ac:dyDescent="0.8">
      <c r="A22" s="37" t="s">
        <v>398</v>
      </c>
      <c r="B22" s="14">
        <v>85</v>
      </c>
      <c r="C22" s="14">
        <v>40</v>
      </c>
      <c r="D22" s="14"/>
      <c r="E22" s="14">
        <v>125</v>
      </c>
    </row>
    <row r="23" spans="1:5" x14ac:dyDescent="0.8">
      <c r="A23" s="37" t="s">
        <v>415</v>
      </c>
      <c r="B23" s="14">
        <v>125</v>
      </c>
      <c r="C23" s="14"/>
      <c r="D23" s="14"/>
      <c r="E23" s="14">
        <v>125</v>
      </c>
    </row>
    <row r="24" spans="1:5" x14ac:dyDescent="0.8">
      <c r="A24" s="37" t="s">
        <v>449</v>
      </c>
      <c r="B24" s="14">
        <v>125</v>
      </c>
      <c r="C24" s="14">
        <v>40</v>
      </c>
      <c r="D24" s="14"/>
      <c r="E24" s="14">
        <v>165</v>
      </c>
    </row>
    <row r="25" spans="1:5" x14ac:dyDescent="0.8">
      <c r="A25" s="37" t="s">
        <v>397</v>
      </c>
      <c r="B25" s="14">
        <v>125</v>
      </c>
      <c r="C25" s="14">
        <v>40</v>
      </c>
      <c r="D25" s="14"/>
      <c r="E25" s="14">
        <v>165</v>
      </c>
    </row>
    <row r="26" spans="1:5" x14ac:dyDescent="0.8">
      <c r="A26" s="37" t="s">
        <v>396</v>
      </c>
      <c r="B26" s="14">
        <v>125</v>
      </c>
      <c r="C26" s="14">
        <v>40</v>
      </c>
      <c r="D26" s="14"/>
      <c r="E26" s="14">
        <v>165</v>
      </c>
    </row>
    <row r="27" spans="1:5" x14ac:dyDescent="0.8">
      <c r="A27" s="37" t="s">
        <v>427</v>
      </c>
      <c r="B27" s="14">
        <v>85</v>
      </c>
      <c r="C27" s="14"/>
      <c r="D27" s="14"/>
      <c r="E27" s="14">
        <v>85</v>
      </c>
    </row>
    <row r="28" spans="1:5" x14ac:dyDescent="0.8">
      <c r="A28" s="37" t="s">
        <v>420</v>
      </c>
      <c r="B28" s="14">
        <v>125</v>
      </c>
      <c r="C28" s="14">
        <v>40</v>
      </c>
      <c r="D28" s="14"/>
      <c r="E28" s="14">
        <v>165</v>
      </c>
    </row>
    <row r="29" spans="1:5" x14ac:dyDescent="0.8">
      <c r="A29" s="37" t="s">
        <v>428</v>
      </c>
      <c r="B29" s="14">
        <v>105</v>
      </c>
      <c r="C29" s="14"/>
      <c r="D29" s="14">
        <v>40</v>
      </c>
      <c r="E29" s="14">
        <v>145</v>
      </c>
    </row>
    <row r="30" spans="1:5" x14ac:dyDescent="0.8">
      <c r="A30" s="37" t="s">
        <v>431</v>
      </c>
      <c r="B30" s="14">
        <v>125</v>
      </c>
      <c r="C30" s="14">
        <v>40</v>
      </c>
      <c r="D30" s="14"/>
      <c r="E30" s="14">
        <v>165</v>
      </c>
    </row>
    <row r="31" spans="1:5" x14ac:dyDescent="0.8">
      <c r="A31" s="37" t="s">
        <v>407</v>
      </c>
      <c r="B31" s="14">
        <v>85</v>
      </c>
      <c r="C31" s="14"/>
      <c r="D31" s="14"/>
      <c r="E31" s="14">
        <v>85</v>
      </c>
    </row>
    <row r="32" spans="1:5" x14ac:dyDescent="0.8">
      <c r="A32" s="37" t="s">
        <v>408</v>
      </c>
      <c r="B32" s="14">
        <v>105</v>
      </c>
      <c r="C32" s="14">
        <v>40</v>
      </c>
      <c r="D32" s="14"/>
      <c r="E32" s="14">
        <v>145</v>
      </c>
    </row>
    <row r="33" spans="1:5" x14ac:dyDescent="0.8">
      <c r="A33" s="37" t="s">
        <v>406</v>
      </c>
      <c r="B33" s="14">
        <v>125</v>
      </c>
      <c r="C33" s="14"/>
      <c r="D33" s="14"/>
      <c r="E33" s="14">
        <v>125</v>
      </c>
    </row>
    <row r="34" spans="1:5" x14ac:dyDescent="0.8">
      <c r="A34" s="37" t="s">
        <v>424</v>
      </c>
      <c r="B34" s="14">
        <v>40</v>
      </c>
      <c r="C34" s="14"/>
      <c r="D34" s="14"/>
      <c r="E34" s="14">
        <v>40</v>
      </c>
    </row>
    <row r="35" spans="1:5" x14ac:dyDescent="0.8">
      <c r="A35" s="37" t="s">
        <v>402</v>
      </c>
      <c r="B35" s="14">
        <v>125</v>
      </c>
      <c r="C35" s="14">
        <v>40</v>
      </c>
      <c r="D35" s="14"/>
      <c r="E35" s="14">
        <v>165</v>
      </c>
    </row>
    <row r="36" spans="1:5" x14ac:dyDescent="0.8">
      <c r="A36" s="37" t="s">
        <v>422</v>
      </c>
      <c r="B36" s="14">
        <v>125</v>
      </c>
      <c r="C36" s="14">
        <v>40</v>
      </c>
      <c r="D36" s="14"/>
      <c r="E36" s="14">
        <v>165</v>
      </c>
    </row>
    <row r="37" spans="1:5" x14ac:dyDescent="0.8">
      <c r="A37" s="37" t="s">
        <v>413</v>
      </c>
      <c r="B37" s="14">
        <v>125</v>
      </c>
      <c r="C37" s="14">
        <v>40</v>
      </c>
      <c r="D37" s="14"/>
      <c r="E37" s="14">
        <v>165</v>
      </c>
    </row>
    <row r="38" spans="1:5" x14ac:dyDescent="0.8">
      <c r="A38" s="37" t="s">
        <v>445</v>
      </c>
      <c r="B38" s="14">
        <v>125</v>
      </c>
      <c r="C38" s="14">
        <v>40</v>
      </c>
      <c r="D38" s="14"/>
      <c r="E38" s="14">
        <v>165</v>
      </c>
    </row>
    <row r="39" spans="1:5" x14ac:dyDescent="0.8">
      <c r="A39" s="37" t="s">
        <v>461</v>
      </c>
      <c r="B39" s="14">
        <v>105</v>
      </c>
      <c r="C39" s="14"/>
      <c r="D39" s="14"/>
      <c r="E39" s="14">
        <v>105</v>
      </c>
    </row>
    <row r="40" spans="1:5" x14ac:dyDescent="0.8">
      <c r="A40" s="37" t="s">
        <v>432</v>
      </c>
      <c r="B40" s="14">
        <v>155</v>
      </c>
      <c r="C40" s="14">
        <v>40</v>
      </c>
      <c r="D40" s="14"/>
      <c r="E40" s="14">
        <v>195</v>
      </c>
    </row>
    <row r="41" spans="1:5" x14ac:dyDescent="0.8">
      <c r="A41" s="37" t="s">
        <v>465</v>
      </c>
      <c r="B41" s="14">
        <v>125</v>
      </c>
      <c r="C41" s="14"/>
      <c r="D41" s="14"/>
      <c r="E41" s="14">
        <v>125</v>
      </c>
    </row>
    <row r="42" spans="1:5" x14ac:dyDescent="0.8">
      <c r="A42" s="37" t="s">
        <v>444</v>
      </c>
      <c r="B42" s="14">
        <v>125</v>
      </c>
      <c r="C42" s="14">
        <v>40</v>
      </c>
      <c r="D42" s="14"/>
      <c r="E42" s="14">
        <v>165</v>
      </c>
    </row>
    <row r="43" spans="1:5" x14ac:dyDescent="0.8">
      <c r="A43" s="37" t="s">
        <v>460</v>
      </c>
      <c r="B43" s="14">
        <v>85</v>
      </c>
      <c r="C43" s="14"/>
      <c r="D43" s="14"/>
      <c r="E43" s="14">
        <v>85</v>
      </c>
    </row>
    <row r="44" spans="1:5" x14ac:dyDescent="0.8">
      <c r="A44" s="37" t="s">
        <v>419</v>
      </c>
      <c r="B44" s="14">
        <v>85</v>
      </c>
      <c r="C44" s="14">
        <v>40</v>
      </c>
      <c r="D44" s="14"/>
      <c r="E44" s="14">
        <v>125</v>
      </c>
    </row>
    <row r="45" spans="1:5" x14ac:dyDescent="0.8">
      <c r="A45" s="37" t="s">
        <v>434</v>
      </c>
      <c r="B45" s="14">
        <v>40</v>
      </c>
      <c r="C45" s="14"/>
      <c r="D45" s="14"/>
      <c r="E45" s="14">
        <v>40</v>
      </c>
    </row>
    <row r="46" spans="1:5" x14ac:dyDescent="0.8">
      <c r="A46" s="37" t="s">
        <v>448</v>
      </c>
      <c r="B46" s="14">
        <v>40</v>
      </c>
      <c r="C46" s="14"/>
      <c r="D46" s="14"/>
      <c r="E46" s="14">
        <v>40</v>
      </c>
    </row>
    <row r="47" spans="1:5" x14ac:dyDescent="0.8">
      <c r="A47" s="37" t="s">
        <v>400</v>
      </c>
      <c r="B47" s="14">
        <v>125</v>
      </c>
      <c r="C47" s="14">
        <v>40</v>
      </c>
      <c r="D47" s="14"/>
      <c r="E47" s="14">
        <v>165</v>
      </c>
    </row>
    <row r="48" spans="1:5" x14ac:dyDescent="0.8">
      <c r="A48" s="37" t="s">
        <v>418</v>
      </c>
      <c r="B48" s="14">
        <v>85</v>
      </c>
      <c r="C48" s="14"/>
      <c r="D48" s="14"/>
      <c r="E48" s="14">
        <v>85</v>
      </c>
    </row>
    <row r="49" spans="1:5" x14ac:dyDescent="0.8">
      <c r="A49" s="37" t="s">
        <v>435</v>
      </c>
      <c r="B49" s="14">
        <v>125</v>
      </c>
      <c r="C49" s="14"/>
      <c r="D49" s="14"/>
      <c r="E49" s="14">
        <v>125</v>
      </c>
    </row>
    <row r="50" spans="1:5" x14ac:dyDescent="0.8">
      <c r="A50" s="37" t="s">
        <v>429</v>
      </c>
      <c r="B50" s="14">
        <v>125</v>
      </c>
      <c r="C50" s="14"/>
      <c r="D50" s="14"/>
      <c r="E50" s="14">
        <v>125</v>
      </c>
    </row>
    <row r="51" spans="1:5" x14ac:dyDescent="0.8">
      <c r="A51" s="37" t="s">
        <v>421</v>
      </c>
      <c r="B51" s="14">
        <v>85</v>
      </c>
      <c r="C51" s="14">
        <v>40</v>
      </c>
      <c r="D51" s="14"/>
      <c r="E51" s="14">
        <v>125</v>
      </c>
    </row>
    <row r="52" spans="1:5" x14ac:dyDescent="0.8">
      <c r="A52" s="37" t="s">
        <v>412</v>
      </c>
      <c r="B52" s="14">
        <v>125</v>
      </c>
      <c r="C52" s="14">
        <v>40</v>
      </c>
      <c r="D52" s="14"/>
      <c r="E52" s="14">
        <v>165</v>
      </c>
    </row>
    <row r="53" spans="1:5" x14ac:dyDescent="0.8">
      <c r="A53" s="37" t="s">
        <v>411</v>
      </c>
      <c r="B53" s="14">
        <v>125</v>
      </c>
      <c r="C53" s="14">
        <v>40</v>
      </c>
      <c r="D53" s="14"/>
      <c r="E53" s="14">
        <v>165</v>
      </c>
    </row>
    <row r="54" spans="1:5" x14ac:dyDescent="0.8">
      <c r="A54" s="37" t="s">
        <v>416</v>
      </c>
      <c r="B54" s="14">
        <v>85</v>
      </c>
      <c r="C54" s="14">
        <v>40</v>
      </c>
      <c r="D54" s="14"/>
      <c r="E54" s="14">
        <v>125</v>
      </c>
    </row>
    <row r="55" spans="1:5" x14ac:dyDescent="0.8">
      <c r="A55" s="37" t="s">
        <v>447</v>
      </c>
      <c r="B55" s="14">
        <v>125</v>
      </c>
      <c r="C55" s="14">
        <v>40</v>
      </c>
      <c r="D55" s="14"/>
      <c r="E55" s="14">
        <v>165</v>
      </c>
    </row>
    <row r="56" spans="1:5" x14ac:dyDescent="0.8">
      <c r="A56" s="37" t="s">
        <v>452</v>
      </c>
      <c r="B56" s="14">
        <v>125</v>
      </c>
      <c r="C56" s="14">
        <v>40</v>
      </c>
      <c r="D56" s="14">
        <v>45</v>
      </c>
      <c r="E56" s="14">
        <v>210</v>
      </c>
    </row>
    <row r="57" spans="1:5" x14ac:dyDescent="0.8">
      <c r="A57" s="37" t="s">
        <v>404</v>
      </c>
      <c r="B57" s="14">
        <v>40</v>
      </c>
      <c r="C57" s="14">
        <v>40</v>
      </c>
      <c r="D57" s="14"/>
      <c r="E57" s="14">
        <v>80</v>
      </c>
    </row>
    <row r="58" spans="1:5" x14ac:dyDescent="0.8">
      <c r="A58" s="37" t="s">
        <v>414</v>
      </c>
      <c r="B58" s="14">
        <v>125</v>
      </c>
      <c r="C58" s="14">
        <v>40</v>
      </c>
      <c r="D58" s="14"/>
      <c r="E58" s="14">
        <v>165</v>
      </c>
    </row>
    <row r="59" spans="1:5" x14ac:dyDescent="0.8">
      <c r="A59" s="37" t="s">
        <v>474</v>
      </c>
      <c r="B59" s="14">
        <v>85</v>
      </c>
      <c r="C59" s="14">
        <v>40</v>
      </c>
      <c r="D59" s="14"/>
      <c r="E59" s="14">
        <v>125</v>
      </c>
    </row>
    <row r="60" spans="1:5" x14ac:dyDescent="0.8">
      <c r="A60" s="37" t="s">
        <v>451</v>
      </c>
      <c r="B60" s="14">
        <v>125</v>
      </c>
      <c r="C60" s="14">
        <v>40</v>
      </c>
      <c r="D60" s="14"/>
      <c r="E60" s="14">
        <v>165</v>
      </c>
    </row>
    <row r="61" spans="1:5" x14ac:dyDescent="0.8">
      <c r="A61" s="37" t="s">
        <v>467</v>
      </c>
      <c r="B61" s="14">
        <v>40</v>
      </c>
      <c r="C61" s="14"/>
      <c r="D61" s="14"/>
      <c r="E61" s="14">
        <v>40</v>
      </c>
    </row>
    <row r="62" spans="1:5" x14ac:dyDescent="0.8">
      <c r="A62" s="37" t="s">
        <v>437</v>
      </c>
      <c r="B62" s="14">
        <v>125</v>
      </c>
      <c r="C62" s="14">
        <v>40</v>
      </c>
      <c r="D62" s="14"/>
      <c r="E62" s="14">
        <v>165</v>
      </c>
    </row>
    <row r="63" spans="1:5" x14ac:dyDescent="0.8">
      <c r="A63" s="37" t="s">
        <v>466</v>
      </c>
      <c r="B63" s="14">
        <v>85</v>
      </c>
      <c r="C63" s="14">
        <v>40</v>
      </c>
      <c r="D63" s="14"/>
      <c r="E63" s="14">
        <v>125</v>
      </c>
    </row>
    <row r="64" spans="1:5" x14ac:dyDescent="0.8">
      <c r="A64" s="37" t="s">
        <v>469</v>
      </c>
      <c r="B64" s="14">
        <v>125</v>
      </c>
      <c r="C64" s="14"/>
      <c r="D64" s="14"/>
      <c r="E64" s="14">
        <v>125</v>
      </c>
    </row>
    <row r="65" spans="1:5" x14ac:dyDescent="0.8">
      <c r="A65" s="37" t="s">
        <v>442</v>
      </c>
      <c r="B65" s="14">
        <v>125</v>
      </c>
      <c r="C65" s="14">
        <v>40</v>
      </c>
      <c r="D65" s="14"/>
      <c r="E65" s="14">
        <v>165</v>
      </c>
    </row>
    <row r="66" spans="1:5" x14ac:dyDescent="0.8">
      <c r="A66" s="37" t="s">
        <v>453</v>
      </c>
      <c r="B66" s="14">
        <v>125</v>
      </c>
      <c r="C66" s="14"/>
      <c r="D66" s="14"/>
      <c r="E66" s="14">
        <v>125</v>
      </c>
    </row>
    <row r="67" spans="1:5" x14ac:dyDescent="0.8">
      <c r="A67" s="37" t="s">
        <v>471</v>
      </c>
      <c r="B67" s="14">
        <v>40</v>
      </c>
      <c r="C67" s="14"/>
      <c r="D67" s="14"/>
      <c r="E67" s="14">
        <v>40</v>
      </c>
    </row>
    <row r="68" spans="1:5" x14ac:dyDescent="0.8">
      <c r="A68" s="37" t="s">
        <v>446</v>
      </c>
      <c r="B68" s="14">
        <v>125</v>
      </c>
      <c r="C68" s="14"/>
      <c r="D68" s="14"/>
      <c r="E68" s="14">
        <v>125</v>
      </c>
    </row>
    <row r="69" spans="1:5" x14ac:dyDescent="0.8">
      <c r="A69" s="37" t="s">
        <v>450</v>
      </c>
      <c r="B69" s="14">
        <v>105</v>
      </c>
      <c r="C69" s="14">
        <v>40</v>
      </c>
      <c r="D69" s="14"/>
      <c r="E69" s="14">
        <v>145</v>
      </c>
    </row>
    <row r="70" spans="1:5" x14ac:dyDescent="0.8">
      <c r="A70" s="37" t="s">
        <v>430</v>
      </c>
      <c r="B70" s="14">
        <v>85</v>
      </c>
      <c r="C70" s="14"/>
      <c r="D70" s="14"/>
      <c r="E70" s="14">
        <v>85</v>
      </c>
    </row>
    <row r="71" spans="1:5" x14ac:dyDescent="0.8">
      <c r="A71" s="37" t="s">
        <v>426</v>
      </c>
      <c r="B71" s="14">
        <v>40</v>
      </c>
      <c r="C71" s="14"/>
      <c r="D71" s="14"/>
      <c r="E71" s="14">
        <v>40</v>
      </c>
    </row>
    <row r="72" spans="1:5" x14ac:dyDescent="0.8">
      <c r="A72" s="37" t="s">
        <v>468</v>
      </c>
      <c r="B72" s="14">
        <v>105</v>
      </c>
      <c r="C72" s="14">
        <v>40</v>
      </c>
      <c r="D72" s="14"/>
      <c r="E72" s="14">
        <v>145</v>
      </c>
    </row>
    <row r="73" spans="1:5" x14ac:dyDescent="0.8">
      <c r="A73" s="37" t="s">
        <v>462</v>
      </c>
      <c r="B73" s="14">
        <v>105</v>
      </c>
      <c r="C73" s="14"/>
      <c r="D73" s="14"/>
      <c r="E73" s="14">
        <v>105</v>
      </c>
    </row>
    <row r="74" spans="1:5" x14ac:dyDescent="0.8">
      <c r="A74" s="37" t="s">
        <v>443</v>
      </c>
      <c r="B74" s="14">
        <v>85</v>
      </c>
      <c r="C74" s="14"/>
      <c r="D74" s="14"/>
      <c r="E74" s="14">
        <v>85</v>
      </c>
    </row>
    <row r="75" spans="1:5" x14ac:dyDescent="0.8">
      <c r="A75" s="37" t="s">
        <v>439</v>
      </c>
      <c r="B75" s="14">
        <v>85</v>
      </c>
      <c r="C75" s="14"/>
      <c r="D75" s="14"/>
      <c r="E75" s="14">
        <v>85</v>
      </c>
    </row>
    <row r="76" spans="1:5" x14ac:dyDescent="0.8">
      <c r="A76" s="37" t="s">
        <v>473</v>
      </c>
      <c r="B76" s="14">
        <v>125</v>
      </c>
      <c r="C76" s="14">
        <v>40</v>
      </c>
      <c r="D76" s="14"/>
      <c r="E76" s="14">
        <v>165</v>
      </c>
    </row>
    <row r="77" spans="1:5" x14ac:dyDescent="0.8">
      <c r="A77" s="37" t="s">
        <v>475</v>
      </c>
      <c r="B77" s="14">
        <v>85</v>
      </c>
      <c r="C77" s="14"/>
      <c r="D77" s="14"/>
      <c r="E77" s="14">
        <v>85</v>
      </c>
    </row>
    <row r="78" spans="1:5" x14ac:dyDescent="0.8">
      <c r="A78" s="37" t="s">
        <v>440</v>
      </c>
      <c r="B78" s="14">
        <v>85</v>
      </c>
      <c r="C78" s="14"/>
      <c r="D78" s="14"/>
      <c r="E78" s="14">
        <v>85</v>
      </c>
    </row>
    <row r="79" spans="1:5" x14ac:dyDescent="0.8">
      <c r="A79" s="37" t="s">
        <v>454</v>
      </c>
      <c r="B79" s="14">
        <v>125</v>
      </c>
      <c r="C79" s="14">
        <v>40</v>
      </c>
      <c r="D79" s="14"/>
      <c r="E79" s="14">
        <v>165</v>
      </c>
    </row>
    <row r="80" spans="1:5" x14ac:dyDescent="0.8">
      <c r="A80" s="37" t="s">
        <v>438</v>
      </c>
      <c r="B80" s="14">
        <v>85</v>
      </c>
      <c r="C80" s="14"/>
      <c r="D80" s="14"/>
      <c r="E80" s="14">
        <v>85</v>
      </c>
    </row>
    <row r="81" spans="1:5" x14ac:dyDescent="0.8">
      <c r="A81" s="37" t="s">
        <v>459</v>
      </c>
      <c r="B81" s="14">
        <v>85</v>
      </c>
      <c r="C81" s="14"/>
      <c r="D81" s="14"/>
      <c r="E81" s="14">
        <v>85</v>
      </c>
    </row>
    <row r="82" spans="1:5" x14ac:dyDescent="0.8">
      <c r="A82" s="37" t="s">
        <v>458</v>
      </c>
      <c r="B82" s="14">
        <v>85</v>
      </c>
      <c r="C82" s="14"/>
      <c r="D82" s="14"/>
      <c r="E82" s="14">
        <v>85</v>
      </c>
    </row>
    <row r="83" spans="1:5" x14ac:dyDescent="0.8">
      <c r="A83" s="37" t="s">
        <v>457</v>
      </c>
      <c r="B83" s="14">
        <v>85</v>
      </c>
      <c r="C83" s="14"/>
      <c r="D83" s="14"/>
      <c r="E83" s="14">
        <v>85</v>
      </c>
    </row>
    <row r="84" spans="1:5" x14ac:dyDescent="0.8">
      <c r="A84" s="37" t="s">
        <v>472</v>
      </c>
      <c r="B84" s="14">
        <v>125</v>
      </c>
      <c r="C84" s="14"/>
      <c r="D84" s="14"/>
      <c r="E84" s="14">
        <v>125</v>
      </c>
    </row>
    <row r="85" spans="1:5" x14ac:dyDescent="0.8">
      <c r="A85" s="37" t="s">
        <v>455</v>
      </c>
      <c r="B85" s="14">
        <v>85</v>
      </c>
      <c r="C85" s="14"/>
      <c r="D85" s="14"/>
      <c r="E85" s="14">
        <v>85</v>
      </c>
    </row>
    <row r="86" spans="1:5" x14ac:dyDescent="0.8">
      <c r="A86" s="37" t="s">
        <v>456</v>
      </c>
      <c r="B86" s="14">
        <v>85</v>
      </c>
      <c r="C86" s="14"/>
      <c r="D86" s="14"/>
      <c r="E86" s="14">
        <v>85</v>
      </c>
    </row>
    <row r="87" spans="1:5" x14ac:dyDescent="0.8">
      <c r="A87" s="37" t="s">
        <v>463</v>
      </c>
      <c r="B87" s="14">
        <v>125</v>
      </c>
      <c r="C87" s="14">
        <v>40</v>
      </c>
      <c r="D87" s="14"/>
      <c r="E87" s="14">
        <v>165</v>
      </c>
    </row>
    <row r="88" spans="1:5" x14ac:dyDescent="0.8">
      <c r="A88" s="37" t="s">
        <v>464</v>
      </c>
      <c r="B88" s="14">
        <v>85</v>
      </c>
      <c r="C88" s="14"/>
      <c r="D88" s="14"/>
      <c r="E88" s="14">
        <v>85</v>
      </c>
    </row>
    <row r="89" spans="1:5" x14ac:dyDescent="0.8">
      <c r="A89" s="37" t="s">
        <v>470</v>
      </c>
      <c r="B89" s="14">
        <v>155</v>
      </c>
      <c r="C89" s="14"/>
      <c r="D89" s="14"/>
      <c r="E89" s="14">
        <v>155</v>
      </c>
    </row>
    <row r="90" spans="1:5" x14ac:dyDescent="0.8">
      <c r="A90" s="37" t="s">
        <v>477</v>
      </c>
      <c r="B90" s="14">
        <v>125</v>
      </c>
      <c r="C90" s="14">
        <v>40</v>
      </c>
      <c r="D90" s="14"/>
      <c r="E90" s="14">
        <v>165</v>
      </c>
    </row>
    <row r="91" spans="1:5" x14ac:dyDescent="0.8">
      <c r="A91" s="37" t="s">
        <v>104</v>
      </c>
      <c r="B91" s="14">
        <v>8905</v>
      </c>
      <c r="C91" s="14">
        <v>1840</v>
      </c>
      <c r="D91" s="14">
        <v>170</v>
      </c>
      <c r="E91" s="14">
        <v>10915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23" priority="3"/>
    <cfRule type="duplicateValues" dxfId="22" priority="4"/>
  </conditionalFormatting>
  <conditionalFormatting sqref="A1:A5">
    <cfRule type="duplicateValues" dxfId="21" priority="2"/>
  </conditionalFormatting>
  <conditionalFormatting sqref="A1:A1048576">
    <cfRule type="duplicateValues" dxfId="20" priority="1"/>
  </conditionalFormatting>
  <pageMargins left="0.7" right="0.7" top="0.75" bottom="0.75" header="0.3" footer="0.3"/>
  <pageSetup scale="48" orientation="portrait" horizontalDpi="1200" verticalDpi="1200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B7EF-0449-4F42-8371-302E3354DDBE}">
  <sheetPr>
    <tabColor rgb="FFFF0000"/>
    <pageSetUpPr fitToPage="1"/>
  </sheetPr>
  <dimension ref="A1:G86"/>
  <sheetViews>
    <sheetView workbookViewId="0">
      <selection activeCell="B7" sqref="B7:E86"/>
    </sheetView>
  </sheetViews>
  <sheetFormatPr defaultRowHeight="14.75" x14ac:dyDescent="0.75"/>
  <cols>
    <col min="1" max="1" width="11.83203125" style="115" bestFit="1" customWidth="1"/>
    <col min="2" max="2" width="19.70703125" style="115" bestFit="1" customWidth="1"/>
    <col min="3" max="4" width="17.0390625" style="115" bestFit="1" customWidth="1"/>
    <col min="5" max="5" width="10.33203125" style="115" bestFit="1" customWidth="1"/>
    <col min="6" max="6" width="8.6640625" style="115"/>
    <col min="7" max="7" width="11.25" style="115" bestFit="1" customWidth="1"/>
    <col min="8" max="16384" width="8.6640625" style="115"/>
  </cols>
  <sheetData>
    <row r="1" spans="1:5" x14ac:dyDescent="0.75">
      <c r="A1" s="225" t="s">
        <v>86</v>
      </c>
      <c r="B1" s="226"/>
      <c r="C1" s="43" t="s">
        <v>88</v>
      </c>
      <c r="D1" s="230">
        <v>44787</v>
      </c>
      <c r="E1" s="231"/>
    </row>
    <row r="2" spans="1:5" x14ac:dyDescent="0.75">
      <c r="A2" s="225" t="s">
        <v>87</v>
      </c>
      <c r="B2" s="226"/>
      <c r="C2" s="43" t="s">
        <v>90</v>
      </c>
      <c r="D2" s="230">
        <v>44786</v>
      </c>
      <c r="E2" s="231"/>
    </row>
    <row r="3" spans="1:5" x14ac:dyDescent="0.75">
      <c r="A3" s="225" t="s">
        <v>89</v>
      </c>
      <c r="B3" s="226"/>
      <c r="C3" s="43" t="s">
        <v>92</v>
      </c>
      <c r="D3" s="227">
        <v>46</v>
      </c>
      <c r="E3" s="228"/>
    </row>
    <row r="4" spans="1:5" x14ac:dyDescent="0.75">
      <c r="A4" s="225" t="s">
        <v>91</v>
      </c>
      <c r="B4" s="226"/>
      <c r="C4" s="43" t="s">
        <v>94</v>
      </c>
      <c r="D4" s="227" t="s">
        <v>95</v>
      </c>
      <c r="E4" s="228"/>
    </row>
    <row r="5" spans="1:5" x14ac:dyDescent="0.75">
      <c r="A5" s="225" t="s">
        <v>93</v>
      </c>
      <c r="B5" s="226"/>
      <c r="C5" s="43" t="s">
        <v>109</v>
      </c>
      <c r="D5" s="229">
        <f>GETPIVOTDATA("Sum of Total",$A$5)</f>
        <v>10805</v>
      </c>
      <c r="E5" s="229"/>
    </row>
    <row r="6" spans="1:5" x14ac:dyDescent="0.75">
      <c r="A6" s="114" t="s">
        <v>103</v>
      </c>
      <c r="B6" s="114" t="s">
        <v>105</v>
      </c>
      <c r="C6" s="114" t="s">
        <v>106</v>
      </c>
      <c r="D6" s="114" t="s">
        <v>107</v>
      </c>
      <c r="E6" s="114" t="s">
        <v>108</v>
      </c>
    </row>
    <row r="7" spans="1:5" x14ac:dyDescent="0.75">
      <c r="A7" s="116" t="s">
        <v>478</v>
      </c>
      <c r="B7" s="190">
        <v>155</v>
      </c>
      <c r="C7" s="190">
        <v>40</v>
      </c>
      <c r="D7" s="190"/>
      <c r="E7" s="190">
        <v>195</v>
      </c>
    </row>
    <row r="8" spans="1:5" x14ac:dyDescent="0.75">
      <c r="A8" s="116" t="s">
        <v>553</v>
      </c>
      <c r="B8" s="190">
        <v>40</v>
      </c>
      <c r="C8" s="190"/>
      <c r="D8" s="190"/>
      <c r="E8" s="190"/>
    </row>
    <row r="9" spans="1:5" x14ac:dyDescent="0.75">
      <c r="A9" s="116" t="s">
        <v>479</v>
      </c>
      <c r="B9" s="190">
        <v>105</v>
      </c>
      <c r="C9" s="190">
        <v>40</v>
      </c>
      <c r="D9" s="190"/>
      <c r="E9" s="190">
        <v>145</v>
      </c>
    </row>
    <row r="10" spans="1:5" x14ac:dyDescent="0.75">
      <c r="A10" s="116" t="s">
        <v>480</v>
      </c>
      <c r="B10" s="190">
        <v>125</v>
      </c>
      <c r="C10" s="190">
        <v>40</v>
      </c>
      <c r="D10" s="190"/>
      <c r="E10" s="190">
        <v>165</v>
      </c>
    </row>
    <row r="11" spans="1:5" x14ac:dyDescent="0.75">
      <c r="A11" s="116" t="s">
        <v>481</v>
      </c>
      <c r="B11" s="190">
        <v>125</v>
      </c>
      <c r="C11" s="190">
        <v>40</v>
      </c>
      <c r="D11" s="190"/>
      <c r="E11" s="190">
        <v>165</v>
      </c>
    </row>
    <row r="12" spans="1:5" x14ac:dyDescent="0.75">
      <c r="A12" s="116" t="s">
        <v>482</v>
      </c>
      <c r="B12" s="190">
        <v>155</v>
      </c>
      <c r="C12" s="190">
        <v>40</v>
      </c>
      <c r="D12" s="190"/>
      <c r="E12" s="190">
        <v>195</v>
      </c>
    </row>
    <row r="13" spans="1:5" x14ac:dyDescent="0.75">
      <c r="A13" s="116" t="s">
        <v>483</v>
      </c>
      <c r="B13" s="190">
        <v>125</v>
      </c>
      <c r="C13" s="190">
        <v>40</v>
      </c>
      <c r="D13" s="190"/>
      <c r="E13" s="190">
        <v>165</v>
      </c>
    </row>
    <row r="14" spans="1:5" x14ac:dyDescent="0.75">
      <c r="A14" s="116" t="s">
        <v>484</v>
      </c>
      <c r="B14" s="190">
        <v>125</v>
      </c>
      <c r="C14" s="190">
        <v>40</v>
      </c>
      <c r="D14" s="190"/>
      <c r="E14" s="190">
        <v>165</v>
      </c>
    </row>
    <row r="15" spans="1:5" x14ac:dyDescent="0.75">
      <c r="A15" s="116" t="s">
        <v>485</v>
      </c>
      <c r="B15" s="190">
        <v>125</v>
      </c>
      <c r="C15" s="190"/>
      <c r="D15" s="190"/>
      <c r="E15" s="190">
        <v>125</v>
      </c>
    </row>
    <row r="16" spans="1:5" x14ac:dyDescent="0.75">
      <c r="A16" s="116" t="s">
        <v>486</v>
      </c>
      <c r="B16" s="190">
        <v>125</v>
      </c>
      <c r="C16" s="190">
        <v>40</v>
      </c>
      <c r="D16" s="190"/>
      <c r="E16" s="190">
        <v>165</v>
      </c>
    </row>
    <row r="17" spans="1:5" x14ac:dyDescent="0.75">
      <c r="A17" s="116" t="s">
        <v>487</v>
      </c>
      <c r="B17" s="190">
        <v>85</v>
      </c>
      <c r="C17" s="190"/>
      <c r="D17" s="190"/>
      <c r="E17" s="190">
        <v>85</v>
      </c>
    </row>
    <row r="18" spans="1:5" x14ac:dyDescent="0.75">
      <c r="A18" s="116" t="s">
        <v>488</v>
      </c>
      <c r="B18" s="190">
        <v>125</v>
      </c>
      <c r="C18" s="190">
        <v>40</v>
      </c>
      <c r="D18" s="190"/>
      <c r="E18" s="190">
        <v>165</v>
      </c>
    </row>
    <row r="19" spans="1:5" x14ac:dyDescent="0.75">
      <c r="A19" s="116" t="s">
        <v>489</v>
      </c>
      <c r="B19" s="190">
        <v>85</v>
      </c>
      <c r="C19" s="190"/>
      <c r="D19" s="190"/>
      <c r="E19" s="190">
        <v>85</v>
      </c>
    </row>
    <row r="20" spans="1:5" x14ac:dyDescent="0.75">
      <c r="A20" s="116" t="s">
        <v>490</v>
      </c>
      <c r="B20" s="190">
        <v>125</v>
      </c>
      <c r="C20" s="190">
        <v>40</v>
      </c>
      <c r="D20" s="190"/>
      <c r="E20" s="190">
        <v>165</v>
      </c>
    </row>
    <row r="21" spans="1:5" x14ac:dyDescent="0.75">
      <c r="A21" s="116" t="s">
        <v>471</v>
      </c>
      <c r="B21" s="190">
        <v>40</v>
      </c>
      <c r="C21" s="190"/>
      <c r="D21" s="190"/>
      <c r="E21" s="190">
        <v>40</v>
      </c>
    </row>
    <row r="22" spans="1:5" x14ac:dyDescent="0.75">
      <c r="A22" s="116" t="s">
        <v>491</v>
      </c>
      <c r="B22" s="190">
        <v>125</v>
      </c>
      <c r="C22" s="190">
        <v>40</v>
      </c>
      <c r="D22" s="190"/>
      <c r="E22" s="190">
        <v>165</v>
      </c>
    </row>
    <row r="23" spans="1:5" x14ac:dyDescent="0.75">
      <c r="A23" s="116" t="s">
        <v>492</v>
      </c>
      <c r="B23" s="190">
        <v>125</v>
      </c>
      <c r="C23" s="190"/>
      <c r="D23" s="190"/>
      <c r="E23" s="190">
        <v>125</v>
      </c>
    </row>
    <row r="24" spans="1:5" x14ac:dyDescent="0.75">
      <c r="A24" s="116" t="s">
        <v>493</v>
      </c>
      <c r="B24" s="190">
        <v>125</v>
      </c>
      <c r="C24" s="190">
        <v>40</v>
      </c>
      <c r="D24" s="190"/>
      <c r="E24" s="190">
        <v>165</v>
      </c>
    </row>
    <row r="25" spans="1:5" x14ac:dyDescent="0.75">
      <c r="A25" s="116" t="s">
        <v>494</v>
      </c>
      <c r="B25" s="190">
        <v>125</v>
      </c>
      <c r="C25" s="190"/>
      <c r="D25" s="190"/>
      <c r="E25" s="190">
        <v>125</v>
      </c>
    </row>
    <row r="26" spans="1:5" x14ac:dyDescent="0.75">
      <c r="A26" s="116" t="s">
        <v>495</v>
      </c>
      <c r="B26" s="190">
        <v>85</v>
      </c>
      <c r="C26" s="190">
        <v>40</v>
      </c>
      <c r="D26" s="190"/>
      <c r="E26" s="190">
        <v>125</v>
      </c>
    </row>
    <row r="27" spans="1:5" x14ac:dyDescent="0.75">
      <c r="A27" s="116" t="s">
        <v>496</v>
      </c>
      <c r="B27" s="190">
        <v>125</v>
      </c>
      <c r="C27" s="190">
        <v>85</v>
      </c>
      <c r="D27" s="190"/>
      <c r="E27" s="190">
        <v>210</v>
      </c>
    </row>
    <row r="28" spans="1:5" x14ac:dyDescent="0.75">
      <c r="A28" s="116" t="s">
        <v>497</v>
      </c>
      <c r="B28" s="190">
        <v>85</v>
      </c>
      <c r="C28" s="190">
        <v>40</v>
      </c>
      <c r="D28" s="190"/>
      <c r="E28" s="190">
        <v>125</v>
      </c>
    </row>
    <row r="29" spans="1:5" x14ac:dyDescent="0.75">
      <c r="A29" s="116" t="s">
        <v>498</v>
      </c>
      <c r="B29" s="190">
        <v>85</v>
      </c>
      <c r="C29" s="190">
        <v>40</v>
      </c>
      <c r="D29" s="190"/>
      <c r="E29" s="190">
        <v>125</v>
      </c>
    </row>
    <row r="30" spans="1:5" x14ac:dyDescent="0.75">
      <c r="A30" s="116" t="s">
        <v>499</v>
      </c>
      <c r="B30" s="190">
        <v>125</v>
      </c>
      <c r="C30" s="190"/>
      <c r="D30" s="190"/>
      <c r="E30" s="190">
        <v>125</v>
      </c>
    </row>
    <row r="31" spans="1:5" x14ac:dyDescent="0.75">
      <c r="A31" s="116" t="s">
        <v>500</v>
      </c>
      <c r="B31" s="190">
        <v>125</v>
      </c>
      <c r="C31" s="190">
        <v>40</v>
      </c>
      <c r="D31" s="190"/>
      <c r="E31" s="190">
        <v>165</v>
      </c>
    </row>
    <row r="32" spans="1:5" x14ac:dyDescent="0.75">
      <c r="A32" s="116" t="s">
        <v>501</v>
      </c>
      <c r="B32" s="190">
        <v>125</v>
      </c>
      <c r="C32" s="190">
        <v>40</v>
      </c>
      <c r="D32" s="190"/>
      <c r="E32" s="190">
        <v>165</v>
      </c>
    </row>
    <row r="33" spans="1:5" x14ac:dyDescent="0.75">
      <c r="A33" s="116" t="s">
        <v>502</v>
      </c>
      <c r="B33" s="190">
        <v>125</v>
      </c>
      <c r="C33" s="190">
        <v>40</v>
      </c>
      <c r="D33" s="190"/>
      <c r="E33" s="190">
        <v>165</v>
      </c>
    </row>
    <row r="34" spans="1:5" x14ac:dyDescent="0.75">
      <c r="A34" s="116" t="s">
        <v>503</v>
      </c>
      <c r="B34" s="190">
        <v>85</v>
      </c>
      <c r="C34" s="190"/>
      <c r="D34" s="190"/>
      <c r="E34" s="190">
        <v>85</v>
      </c>
    </row>
    <row r="35" spans="1:5" x14ac:dyDescent="0.75">
      <c r="A35" s="116" t="s">
        <v>504</v>
      </c>
      <c r="B35" s="190">
        <v>85</v>
      </c>
      <c r="C35" s="190"/>
      <c r="D35" s="190"/>
      <c r="E35" s="190">
        <v>85</v>
      </c>
    </row>
    <row r="36" spans="1:5" x14ac:dyDescent="0.75">
      <c r="A36" s="116" t="s">
        <v>505</v>
      </c>
      <c r="B36" s="190">
        <v>125</v>
      </c>
      <c r="C36" s="190">
        <v>40</v>
      </c>
      <c r="D36" s="190"/>
      <c r="E36" s="190">
        <v>165</v>
      </c>
    </row>
    <row r="37" spans="1:5" x14ac:dyDescent="0.75">
      <c r="A37" s="116" t="s">
        <v>506</v>
      </c>
      <c r="B37" s="190">
        <v>125</v>
      </c>
      <c r="C37" s="190">
        <v>40</v>
      </c>
      <c r="D37" s="190"/>
      <c r="E37" s="190">
        <v>165</v>
      </c>
    </row>
    <row r="38" spans="1:5" x14ac:dyDescent="0.75">
      <c r="A38" s="116" t="s">
        <v>507</v>
      </c>
      <c r="B38" s="190">
        <v>125</v>
      </c>
      <c r="C38" s="190">
        <v>40</v>
      </c>
      <c r="D38" s="190"/>
      <c r="E38" s="190">
        <v>165</v>
      </c>
    </row>
    <row r="39" spans="1:5" x14ac:dyDescent="0.75">
      <c r="A39" s="116" t="s">
        <v>508</v>
      </c>
      <c r="B39" s="190">
        <v>125</v>
      </c>
      <c r="C39" s="190">
        <v>40</v>
      </c>
      <c r="D39" s="190"/>
      <c r="E39" s="190">
        <v>165</v>
      </c>
    </row>
    <row r="40" spans="1:5" x14ac:dyDescent="0.75">
      <c r="A40" s="116" t="s">
        <v>509</v>
      </c>
      <c r="B40" s="190">
        <v>125</v>
      </c>
      <c r="C40" s="190"/>
      <c r="D40" s="190"/>
      <c r="E40" s="190">
        <v>125</v>
      </c>
    </row>
    <row r="41" spans="1:5" x14ac:dyDescent="0.75">
      <c r="A41" s="116" t="s">
        <v>554</v>
      </c>
      <c r="B41" s="190">
        <v>125</v>
      </c>
      <c r="C41" s="190">
        <v>40</v>
      </c>
      <c r="D41" s="190"/>
      <c r="E41" s="190">
        <v>165</v>
      </c>
    </row>
    <row r="42" spans="1:5" x14ac:dyDescent="0.75">
      <c r="A42" s="116" t="s">
        <v>510</v>
      </c>
      <c r="B42" s="190">
        <v>125</v>
      </c>
      <c r="C42" s="190">
        <v>40</v>
      </c>
      <c r="D42" s="190"/>
      <c r="E42" s="190">
        <v>165</v>
      </c>
    </row>
    <row r="43" spans="1:5" x14ac:dyDescent="0.75">
      <c r="A43" s="116" t="s">
        <v>511</v>
      </c>
      <c r="B43" s="190">
        <v>125</v>
      </c>
      <c r="C43" s="190"/>
      <c r="D43" s="190"/>
      <c r="E43" s="190">
        <v>125</v>
      </c>
    </row>
    <row r="44" spans="1:5" x14ac:dyDescent="0.75">
      <c r="A44" s="116" t="s">
        <v>457</v>
      </c>
      <c r="B44" s="190">
        <v>85</v>
      </c>
      <c r="C44" s="190"/>
      <c r="D44" s="190"/>
      <c r="E44" s="190">
        <v>85</v>
      </c>
    </row>
    <row r="45" spans="1:5" x14ac:dyDescent="0.75">
      <c r="A45" s="116" t="s">
        <v>512</v>
      </c>
      <c r="B45" s="190">
        <v>125</v>
      </c>
      <c r="C45" s="190">
        <v>40</v>
      </c>
      <c r="D45" s="190"/>
      <c r="E45" s="190">
        <v>165</v>
      </c>
    </row>
    <row r="46" spans="1:5" x14ac:dyDescent="0.75">
      <c r="A46" s="116" t="s">
        <v>513</v>
      </c>
      <c r="B46" s="190">
        <v>125</v>
      </c>
      <c r="C46" s="190"/>
      <c r="D46" s="190"/>
      <c r="E46" s="190">
        <v>125</v>
      </c>
    </row>
    <row r="47" spans="1:5" x14ac:dyDescent="0.75">
      <c r="A47" s="116" t="s">
        <v>514</v>
      </c>
      <c r="B47" s="190">
        <v>85</v>
      </c>
      <c r="C47" s="190">
        <v>40</v>
      </c>
      <c r="D47" s="190"/>
      <c r="E47" s="190">
        <v>125</v>
      </c>
    </row>
    <row r="48" spans="1:5" x14ac:dyDescent="0.75">
      <c r="A48" s="116" t="s">
        <v>515</v>
      </c>
      <c r="B48" s="190">
        <v>125</v>
      </c>
      <c r="C48" s="190">
        <v>40</v>
      </c>
      <c r="D48" s="190"/>
      <c r="E48" s="190">
        <v>165</v>
      </c>
    </row>
    <row r="49" spans="1:5" x14ac:dyDescent="0.75">
      <c r="A49" s="116" t="s">
        <v>516</v>
      </c>
      <c r="B49" s="190">
        <v>85</v>
      </c>
      <c r="C49" s="190"/>
      <c r="D49" s="190"/>
      <c r="E49" s="190">
        <v>85</v>
      </c>
    </row>
    <row r="50" spans="1:5" x14ac:dyDescent="0.75">
      <c r="A50" s="116" t="s">
        <v>517</v>
      </c>
      <c r="B50" s="190">
        <v>85</v>
      </c>
      <c r="C50" s="190"/>
      <c r="D50" s="190"/>
      <c r="E50" s="190">
        <v>85</v>
      </c>
    </row>
    <row r="51" spans="1:5" x14ac:dyDescent="0.75">
      <c r="A51" s="116" t="s">
        <v>518</v>
      </c>
      <c r="B51" s="190">
        <v>125</v>
      </c>
      <c r="C51" s="190">
        <v>40</v>
      </c>
      <c r="D51" s="190"/>
      <c r="E51" s="190">
        <v>165</v>
      </c>
    </row>
    <row r="52" spans="1:5" x14ac:dyDescent="0.75">
      <c r="A52" s="116" t="s">
        <v>519</v>
      </c>
      <c r="B52" s="190">
        <v>125</v>
      </c>
      <c r="C52" s="190">
        <v>45</v>
      </c>
      <c r="D52" s="190"/>
      <c r="E52" s="190">
        <v>170</v>
      </c>
    </row>
    <row r="53" spans="1:5" x14ac:dyDescent="0.75">
      <c r="A53" s="116" t="s">
        <v>520</v>
      </c>
      <c r="B53" s="190">
        <v>125</v>
      </c>
      <c r="C53" s="190"/>
      <c r="D53" s="190"/>
      <c r="E53" s="190">
        <v>125</v>
      </c>
    </row>
    <row r="54" spans="1:5" x14ac:dyDescent="0.75">
      <c r="A54" s="116" t="s">
        <v>521</v>
      </c>
      <c r="B54" s="190">
        <v>125</v>
      </c>
      <c r="C54" s="190">
        <v>90</v>
      </c>
      <c r="D54" s="190">
        <v>40</v>
      </c>
      <c r="E54" s="190">
        <v>255</v>
      </c>
    </row>
    <row r="55" spans="1:5" x14ac:dyDescent="0.75">
      <c r="A55" s="116" t="s">
        <v>522</v>
      </c>
      <c r="B55" s="190">
        <v>40</v>
      </c>
      <c r="C55" s="190"/>
      <c r="D55" s="190"/>
      <c r="E55" s="190">
        <v>40</v>
      </c>
    </row>
    <row r="56" spans="1:5" x14ac:dyDescent="0.75">
      <c r="A56" s="116" t="s">
        <v>523</v>
      </c>
      <c r="B56" s="190">
        <v>155</v>
      </c>
      <c r="C56" s="190">
        <v>40</v>
      </c>
      <c r="D56" s="190"/>
      <c r="E56" s="190">
        <v>195</v>
      </c>
    </row>
    <row r="57" spans="1:5" x14ac:dyDescent="0.75">
      <c r="A57" s="116" t="s">
        <v>524</v>
      </c>
      <c r="B57" s="190">
        <v>125</v>
      </c>
      <c r="C57" s="190">
        <v>40</v>
      </c>
      <c r="D57" s="190"/>
      <c r="E57" s="190">
        <v>165</v>
      </c>
    </row>
    <row r="58" spans="1:5" x14ac:dyDescent="0.75">
      <c r="A58" s="116" t="s">
        <v>525</v>
      </c>
      <c r="B58" s="190">
        <v>125</v>
      </c>
      <c r="C58" s="190">
        <v>40</v>
      </c>
      <c r="D58" s="190"/>
      <c r="E58" s="190">
        <v>165</v>
      </c>
    </row>
    <row r="59" spans="1:5" x14ac:dyDescent="0.75">
      <c r="A59" s="116" t="s">
        <v>552</v>
      </c>
      <c r="B59" s="190">
        <v>125</v>
      </c>
      <c r="C59" s="190">
        <v>45</v>
      </c>
      <c r="D59" s="190">
        <v>40</v>
      </c>
      <c r="E59" s="190">
        <v>210</v>
      </c>
    </row>
    <row r="60" spans="1:5" x14ac:dyDescent="0.75">
      <c r="A60" s="116" t="s">
        <v>526</v>
      </c>
      <c r="B60" s="190">
        <v>105</v>
      </c>
      <c r="C60" s="190"/>
      <c r="D60" s="190"/>
      <c r="E60" s="190">
        <v>105</v>
      </c>
    </row>
    <row r="61" spans="1:5" x14ac:dyDescent="0.75">
      <c r="A61" s="116" t="s">
        <v>527</v>
      </c>
      <c r="B61" s="190">
        <v>125</v>
      </c>
      <c r="C61" s="190">
        <v>40</v>
      </c>
      <c r="D61" s="190"/>
      <c r="E61" s="190">
        <v>165</v>
      </c>
    </row>
    <row r="62" spans="1:5" x14ac:dyDescent="0.75">
      <c r="A62" s="116" t="s">
        <v>528</v>
      </c>
      <c r="B62" s="190">
        <v>125</v>
      </c>
      <c r="C62" s="190">
        <v>40</v>
      </c>
      <c r="D62" s="190">
        <v>45</v>
      </c>
      <c r="E62" s="190">
        <v>210</v>
      </c>
    </row>
    <row r="63" spans="1:5" x14ac:dyDescent="0.75">
      <c r="A63" s="116" t="s">
        <v>529</v>
      </c>
      <c r="B63" s="190">
        <v>165</v>
      </c>
      <c r="C63" s="190"/>
      <c r="D63" s="190"/>
      <c r="E63" s="190">
        <v>165</v>
      </c>
    </row>
    <row r="64" spans="1:5" x14ac:dyDescent="0.75">
      <c r="A64" s="116" t="s">
        <v>530</v>
      </c>
      <c r="B64" s="190">
        <v>40</v>
      </c>
      <c r="C64" s="190"/>
      <c r="D64" s="190"/>
      <c r="E64" s="190">
        <v>40</v>
      </c>
    </row>
    <row r="65" spans="1:7" x14ac:dyDescent="0.75">
      <c r="A65" s="116" t="s">
        <v>531</v>
      </c>
      <c r="B65" s="190">
        <v>40</v>
      </c>
      <c r="C65" s="190"/>
      <c r="D65" s="190"/>
      <c r="E65" s="190">
        <v>40</v>
      </c>
    </row>
    <row r="66" spans="1:7" x14ac:dyDescent="0.75">
      <c r="A66" s="116" t="s">
        <v>532</v>
      </c>
      <c r="B66" s="190">
        <v>125</v>
      </c>
      <c r="C66" s="190">
        <v>40</v>
      </c>
      <c r="D66" s="190"/>
      <c r="E66" s="190">
        <v>165</v>
      </c>
      <c r="G66" s="166" t="s">
        <v>564</v>
      </c>
    </row>
    <row r="67" spans="1:7" x14ac:dyDescent="0.75">
      <c r="A67" s="116" t="s">
        <v>533</v>
      </c>
      <c r="B67" s="190">
        <v>125</v>
      </c>
      <c r="C67" s="190">
        <v>40</v>
      </c>
      <c r="D67" s="190">
        <v>45</v>
      </c>
      <c r="E67" s="190">
        <v>210</v>
      </c>
    </row>
    <row r="68" spans="1:7" x14ac:dyDescent="0.75">
      <c r="A68" s="116" t="s">
        <v>534</v>
      </c>
      <c r="B68" s="190">
        <v>40</v>
      </c>
      <c r="C68" s="190"/>
      <c r="D68" s="190"/>
      <c r="E68" s="190">
        <v>40</v>
      </c>
    </row>
    <row r="69" spans="1:7" x14ac:dyDescent="0.75">
      <c r="A69" s="116" t="s">
        <v>535</v>
      </c>
      <c r="B69" s="190">
        <v>40</v>
      </c>
      <c r="C69" s="190"/>
      <c r="D69" s="190"/>
      <c r="E69" s="190">
        <v>40</v>
      </c>
    </row>
    <row r="70" spans="1:7" x14ac:dyDescent="0.75">
      <c r="A70" s="116" t="s">
        <v>536</v>
      </c>
      <c r="B70" s="190">
        <v>125</v>
      </c>
      <c r="C70" s="190">
        <v>40</v>
      </c>
      <c r="D70" s="190"/>
      <c r="E70" s="190">
        <v>165</v>
      </c>
    </row>
    <row r="71" spans="1:7" x14ac:dyDescent="0.75">
      <c r="A71" s="116" t="s">
        <v>537</v>
      </c>
      <c r="B71" s="190">
        <v>85</v>
      </c>
      <c r="C71" s="190"/>
      <c r="D71" s="190"/>
      <c r="E71" s="190">
        <v>85</v>
      </c>
    </row>
    <row r="72" spans="1:7" x14ac:dyDescent="0.75">
      <c r="A72" s="116" t="s">
        <v>538</v>
      </c>
      <c r="B72" s="190">
        <v>85</v>
      </c>
      <c r="C72" s="190">
        <v>40</v>
      </c>
      <c r="D72" s="190"/>
      <c r="E72" s="190">
        <v>125</v>
      </c>
    </row>
    <row r="73" spans="1:7" x14ac:dyDescent="0.75">
      <c r="A73" s="116" t="s">
        <v>539</v>
      </c>
      <c r="B73" s="190">
        <v>105</v>
      </c>
      <c r="C73" s="190">
        <v>40</v>
      </c>
      <c r="D73" s="190"/>
      <c r="E73" s="190">
        <v>145</v>
      </c>
    </row>
    <row r="74" spans="1:7" x14ac:dyDescent="0.75">
      <c r="A74" s="116" t="s">
        <v>540</v>
      </c>
      <c r="B74" s="190">
        <v>105</v>
      </c>
      <c r="C74" s="190"/>
      <c r="D74" s="190"/>
      <c r="E74" s="190">
        <v>105</v>
      </c>
    </row>
    <row r="75" spans="1:7" x14ac:dyDescent="0.75">
      <c r="A75" s="116" t="s">
        <v>541</v>
      </c>
      <c r="B75" s="190">
        <v>125</v>
      </c>
      <c r="C75" s="190">
        <v>40</v>
      </c>
      <c r="D75" s="190"/>
      <c r="E75" s="190">
        <v>165</v>
      </c>
    </row>
    <row r="76" spans="1:7" x14ac:dyDescent="0.75">
      <c r="A76" s="116" t="s">
        <v>542</v>
      </c>
      <c r="B76" s="190">
        <v>125</v>
      </c>
      <c r="C76" s="190">
        <v>40</v>
      </c>
      <c r="D76" s="190"/>
      <c r="E76" s="190">
        <v>165</v>
      </c>
    </row>
    <row r="77" spans="1:7" x14ac:dyDescent="0.75">
      <c r="A77" s="116" t="s">
        <v>543</v>
      </c>
      <c r="B77" s="190">
        <v>40</v>
      </c>
      <c r="C77" s="190"/>
      <c r="D77" s="190"/>
      <c r="E77" s="190">
        <v>40</v>
      </c>
    </row>
    <row r="78" spans="1:7" x14ac:dyDescent="0.75">
      <c r="A78" s="116" t="s">
        <v>544</v>
      </c>
      <c r="B78" s="190">
        <v>85</v>
      </c>
      <c r="C78" s="190"/>
      <c r="D78" s="190"/>
      <c r="E78" s="190">
        <v>85</v>
      </c>
    </row>
    <row r="79" spans="1:7" x14ac:dyDescent="0.75">
      <c r="A79" s="116" t="s">
        <v>545</v>
      </c>
      <c r="B79" s="190">
        <v>125</v>
      </c>
      <c r="C79" s="190">
        <v>40</v>
      </c>
      <c r="D79" s="190"/>
      <c r="E79" s="190">
        <v>165</v>
      </c>
    </row>
    <row r="80" spans="1:7" x14ac:dyDescent="0.75">
      <c r="A80" s="116" t="s">
        <v>546</v>
      </c>
      <c r="B80" s="190">
        <v>125</v>
      </c>
      <c r="C80" s="190"/>
      <c r="D80" s="190"/>
      <c r="E80" s="190">
        <v>125</v>
      </c>
    </row>
    <row r="81" spans="1:5" x14ac:dyDescent="0.75">
      <c r="A81" s="116" t="s">
        <v>547</v>
      </c>
      <c r="B81" s="190">
        <v>125</v>
      </c>
      <c r="C81" s="190">
        <v>40</v>
      </c>
      <c r="D81" s="190"/>
      <c r="E81" s="190">
        <v>165</v>
      </c>
    </row>
    <row r="82" spans="1:5" x14ac:dyDescent="0.75">
      <c r="A82" s="116" t="s">
        <v>548</v>
      </c>
      <c r="B82" s="190">
        <v>85</v>
      </c>
      <c r="C82" s="190"/>
      <c r="D82" s="190"/>
      <c r="E82" s="190">
        <v>85</v>
      </c>
    </row>
    <row r="83" spans="1:5" x14ac:dyDescent="0.75">
      <c r="A83" s="116" t="s">
        <v>549</v>
      </c>
      <c r="B83" s="190">
        <v>125</v>
      </c>
      <c r="C83" s="190"/>
      <c r="D83" s="190"/>
      <c r="E83" s="190">
        <v>125</v>
      </c>
    </row>
    <row r="84" spans="1:5" x14ac:dyDescent="0.75">
      <c r="A84" s="116" t="s">
        <v>550</v>
      </c>
      <c r="B84" s="190">
        <v>125</v>
      </c>
      <c r="C84" s="190"/>
      <c r="D84" s="190"/>
      <c r="E84" s="190">
        <v>125</v>
      </c>
    </row>
    <row r="85" spans="1:5" x14ac:dyDescent="0.75">
      <c r="A85" s="116" t="s">
        <v>551</v>
      </c>
      <c r="B85" s="190">
        <v>125</v>
      </c>
      <c r="C85" s="190">
        <v>45</v>
      </c>
      <c r="D85" s="190">
        <v>40</v>
      </c>
      <c r="E85" s="190">
        <v>210</v>
      </c>
    </row>
    <row r="86" spans="1:5" x14ac:dyDescent="0.75">
      <c r="A86" s="116" t="s">
        <v>104</v>
      </c>
      <c r="B86" s="190">
        <v>8645</v>
      </c>
      <c r="C86" s="190">
        <v>1990</v>
      </c>
      <c r="D86" s="190">
        <v>210</v>
      </c>
      <c r="E86" s="190">
        <v>10805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9" priority="3"/>
    <cfRule type="duplicateValues" dxfId="18" priority="4"/>
  </conditionalFormatting>
  <conditionalFormatting sqref="A1:A5">
    <cfRule type="duplicateValues" dxfId="17" priority="2"/>
  </conditionalFormatting>
  <conditionalFormatting sqref="A1:A5">
    <cfRule type="duplicateValues" dxfId="16" priority="1"/>
  </conditionalFormatting>
  <pageMargins left="0.7" right="0.7" top="0.75" bottom="0.75" header="0.3" footer="0.3"/>
  <pageSetup scale="55" orientation="portrait" horizontalDpi="1200" verticalDpi="1200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5ED3-B4C0-4F70-AF93-3F0CDEE292EF}">
  <sheetPr>
    <tabColor rgb="FFFF0000"/>
  </sheetPr>
  <dimension ref="A1:E135"/>
  <sheetViews>
    <sheetView workbookViewId="0">
      <selection activeCell="H4" sqref="H4"/>
    </sheetView>
  </sheetViews>
  <sheetFormatPr defaultRowHeight="14.75" x14ac:dyDescent="0.75"/>
  <cols>
    <col min="1" max="1" width="12.75" style="192" bestFit="1" customWidth="1"/>
    <col min="2" max="2" width="19.70703125" style="192" bestFit="1" customWidth="1"/>
    <col min="3" max="4" width="17.0390625" style="192" bestFit="1" customWidth="1"/>
    <col min="5" max="5" width="10.33203125" style="192" bestFit="1" customWidth="1"/>
    <col min="6" max="16384" width="8.6640625" style="192"/>
  </cols>
  <sheetData>
    <row r="1" spans="1:5" x14ac:dyDescent="0.75">
      <c r="A1" s="242" t="s">
        <v>86</v>
      </c>
      <c r="B1" s="243"/>
      <c r="C1" s="191" t="s">
        <v>88</v>
      </c>
      <c r="D1" s="247">
        <v>44794</v>
      </c>
      <c r="E1" s="248"/>
    </row>
    <row r="2" spans="1:5" x14ac:dyDescent="0.75">
      <c r="A2" s="242" t="s">
        <v>87</v>
      </c>
      <c r="B2" s="243"/>
      <c r="C2" s="191" t="s">
        <v>90</v>
      </c>
      <c r="D2" s="247">
        <v>44793</v>
      </c>
      <c r="E2" s="248"/>
    </row>
    <row r="3" spans="1:5" x14ac:dyDescent="0.75">
      <c r="A3" s="242" t="s">
        <v>89</v>
      </c>
      <c r="B3" s="243"/>
      <c r="C3" s="191" t="s">
        <v>92</v>
      </c>
      <c r="D3" s="244">
        <v>47</v>
      </c>
      <c r="E3" s="245"/>
    </row>
    <row r="4" spans="1:5" x14ac:dyDescent="0.75">
      <c r="A4" s="242" t="s">
        <v>91</v>
      </c>
      <c r="B4" s="243"/>
      <c r="C4" s="191" t="s">
        <v>94</v>
      </c>
      <c r="D4" s="244" t="s">
        <v>95</v>
      </c>
      <c r="E4" s="245"/>
    </row>
    <row r="5" spans="1:5" x14ac:dyDescent="0.75">
      <c r="A5" s="242" t="s">
        <v>93</v>
      </c>
      <c r="B5" s="243"/>
      <c r="C5" s="191" t="s">
        <v>109</v>
      </c>
      <c r="D5" s="246">
        <f>GETPIVOTDATA("Sum of Total",$A$5)</f>
        <v>17450</v>
      </c>
      <c r="E5" s="246"/>
    </row>
    <row r="6" spans="1:5" x14ac:dyDescent="0.75">
      <c r="A6" s="210" t="s">
        <v>103</v>
      </c>
      <c r="B6" s="193" t="s">
        <v>105</v>
      </c>
      <c r="C6" s="193" t="s">
        <v>106</v>
      </c>
      <c r="D6" s="193" t="s">
        <v>107</v>
      </c>
      <c r="E6" s="193" t="s">
        <v>108</v>
      </c>
    </row>
    <row r="7" spans="1:5" x14ac:dyDescent="0.75">
      <c r="A7" s="209" t="s">
        <v>565</v>
      </c>
      <c r="B7" s="193">
        <v>125</v>
      </c>
      <c r="C7" s="193">
        <v>45</v>
      </c>
      <c r="D7" s="193">
        <v>30</v>
      </c>
      <c r="E7" s="193">
        <v>200</v>
      </c>
    </row>
    <row r="8" spans="1:5" x14ac:dyDescent="0.75">
      <c r="A8" s="209" t="s">
        <v>566</v>
      </c>
      <c r="B8" s="193">
        <v>125</v>
      </c>
      <c r="C8" s="193">
        <v>40</v>
      </c>
      <c r="D8" s="193"/>
      <c r="E8" s="193">
        <v>165</v>
      </c>
    </row>
    <row r="9" spans="1:5" x14ac:dyDescent="0.75">
      <c r="A9" s="209" t="s">
        <v>567</v>
      </c>
      <c r="B9" s="193">
        <v>125</v>
      </c>
      <c r="C9" s="193">
        <v>40</v>
      </c>
      <c r="D9" s="193"/>
      <c r="E9" s="193">
        <v>165</v>
      </c>
    </row>
    <row r="10" spans="1:5" x14ac:dyDescent="0.75">
      <c r="A10" s="209" t="s">
        <v>568</v>
      </c>
      <c r="B10" s="193">
        <v>125</v>
      </c>
      <c r="C10" s="193">
        <v>40</v>
      </c>
      <c r="D10" s="193"/>
      <c r="E10" s="193">
        <v>165</v>
      </c>
    </row>
    <row r="11" spans="1:5" x14ac:dyDescent="0.75">
      <c r="A11" s="209" t="s">
        <v>569</v>
      </c>
      <c r="B11" s="193">
        <v>40</v>
      </c>
      <c r="C11" s="193"/>
      <c r="D11" s="193"/>
      <c r="E11" s="193">
        <v>40</v>
      </c>
    </row>
    <row r="12" spans="1:5" x14ac:dyDescent="0.75">
      <c r="A12" s="209" t="s">
        <v>814</v>
      </c>
      <c r="B12" s="193">
        <v>40</v>
      </c>
      <c r="C12" s="193"/>
      <c r="D12" s="193"/>
      <c r="E12" s="193">
        <v>40</v>
      </c>
    </row>
    <row r="13" spans="1:5" x14ac:dyDescent="0.75">
      <c r="A13" s="209" t="s">
        <v>570</v>
      </c>
      <c r="B13" s="193">
        <v>85</v>
      </c>
      <c r="C13" s="193"/>
      <c r="D13" s="193"/>
      <c r="E13" s="193">
        <v>85</v>
      </c>
    </row>
    <row r="14" spans="1:5" x14ac:dyDescent="0.75">
      <c r="A14" s="209" t="s">
        <v>571</v>
      </c>
      <c r="B14" s="193">
        <v>125</v>
      </c>
      <c r="C14" s="193"/>
      <c r="D14" s="193"/>
      <c r="E14" s="193">
        <v>125</v>
      </c>
    </row>
    <row r="15" spans="1:5" x14ac:dyDescent="0.75">
      <c r="A15" s="209" t="s">
        <v>553</v>
      </c>
      <c r="B15" s="193">
        <v>40</v>
      </c>
      <c r="C15" s="193"/>
      <c r="D15" s="193"/>
      <c r="E15" s="193">
        <v>40</v>
      </c>
    </row>
    <row r="16" spans="1:5" x14ac:dyDescent="0.75">
      <c r="A16" s="209" t="s">
        <v>572</v>
      </c>
      <c r="B16" s="193">
        <v>155</v>
      </c>
      <c r="C16" s="193">
        <v>90</v>
      </c>
      <c r="D16" s="193"/>
      <c r="E16" s="193">
        <v>245</v>
      </c>
    </row>
    <row r="17" spans="1:5" x14ac:dyDescent="0.75">
      <c r="A17" s="209" t="s">
        <v>573</v>
      </c>
      <c r="B17" s="193">
        <v>85</v>
      </c>
      <c r="C17" s="193">
        <v>40</v>
      </c>
      <c r="D17" s="193"/>
      <c r="E17" s="193">
        <v>125</v>
      </c>
    </row>
    <row r="18" spans="1:5" x14ac:dyDescent="0.75">
      <c r="A18" s="209" t="s">
        <v>574</v>
      </c>
      <c r="B18" s="193">
        <v>125</v>
      </c>
      <c r="C18" s="193"/>
      <c r="D18" s="193"/>
      <c r="E18" s="193">
        <v>125</v>
      </c>
    </row>
    <row r="19" spans="1:5" x14ac:dyDescent="0.75">
      <c r="A19" s="209" t="s">
        <v>575</v>
      </c>
      <c r="B19" s="193">
        <v>85</v>
      </c>
      <c r="C19" s="193"/>
      <c r="D19" s="193"/>
      <c r="E19" s="193">
        <v>85</v>
      </c>
    </row>
    <row r="20" spans="1:5" x14ac:dyDescent="0.75">
      <c r="A20" s="209" t="s">
        <v>576</v>
      </c>
      <c r="B20" s="193">
        <v>125</v>
      </c>
      <c r="C20" s="193">
        <v>40</v>
      </c>
      <c r="D20" s="193">
        <v>45</v>
      </c>
      <c r="E20" s="193">
        <v>210</v>
      </c>
    </row>
    <row r="21" spans="1:5" x14ac:dyDescent="0.75">
      <c r="A21" s="209" t="s">
        <v>577</v>
      </c>
      <c r="B21" s="193">
        <v>155</v>
      </c>
      <c r="C21" s="193">
        <v>40</v>
      </c>
      <c r="D21" s="193"/>
      <c r="E21" s="193">
        <v>195</v>
      </c>
    </row>
    <row r="22" spans="1:5" x14ac:dyDescent="0.75">
      <c r="A22" s="209" t="s">
        <v>578</v>
      </c>
      <c r="B22" s="193">
        <v>125</v>
      </c>
      <c r="C22" s="193">
        <v>40</v>
      </c>
      <c r="D22" s="193">
        <v>90</v>
      </c>
      <c r="E22" s="193">
        <v>255</v>
      </c>
    </row>
    <row r="23" spans="1:5" x14ac:dyDescent="0.75">
      <c r="A23" s="209" t="s">
        <v>579</v>
      </c>
      <c r="B23" s="193">
        <v>40</v>
      </c>
      <c r="C23" s="193"/>
      <c r="D23" s="193"/>
      <c r="E23" s="193">
        <v>40</v>
      </c>
    </row>
    <row r="24" spans="1:5" x14ac:dyDescent="0.75">
      <c r="A24" s="209" t="s">
        <v>580</v>
      </c>
      <c r="B24" s="193">
        <v>125</v>
      </c>
      <c r="C24" s="193">
        <v>40</v>
      </c>
      <c r="D24" s="193"/>
      <c r="E24" s="193">
        <v>165</v>
      </c>
    </row>
    <row r="25" spans="1:5" x14ac:dyDescent="0.75">
      <c r="A25" s="209" t="s">
        <v>581</v>
      </c>
      <c r="B25" s="193">
        <v>125</v>
      </c>
      <c r="C25" s="193">
        <v>40</v>
      </c>
      <c r="D25" s="193"/>
      <c r="E25" s="193">
        <v>165</v>
      </c>
    </row>
    <row r="26" spans="1:5" x14ac:dyDescent="0.75">
      <c r="A26" s="209" t="s">
        <v>582</v>
      </c>
      <c r="B26" s="193">
        <v>125</v>
      </c>
      <c r="C26" s="193">
        <v>40</v>
      </c>
      <c r="D26" s="193"/>
      <c r="E26" s="193">
        <v>165</v>
      </c>
    </row>
    <row r="27" spans="1:5" x14ac:dyDescent="0.75">
      <c r="A27" s="209" t="s">
        <v>583</v>
      </c>
      <c r="B27" s="193">
        <v>155</v>
      </c>
      <c r="C27" s="193">
        <v>40</v>
      </c>
      <c r="D27" s="193"/>
      <c r="E27" s="193">
        <v>195</v>
      </c>
    </row>
    <row r="28" spans="1:5" x14ac:dyDescent="0.75">
      <c r="A28" s="209" t="s">
        <v>584</v>
      </c>
      <c r="B28" s="193">
        <v>125</v>
      </c>
      <c r="C28" s="193">
        <v>40</v>
      </c>
      <c r="D28" s="193">
        <v>90</v>
      </c>
      <c r="E28" s="193">
        <v>255</v>
      </c>
    </row>
    <row r="29" spans="1:5" x14ac:dyDescent="0.75">
      <c r="A29" s="209" t="s">
        <v>585</v>
      </c>
      <c r="B29" s="193">
        <v>125</v>
      </c>
      <c r="C29" s="193">
        <v>40</v>
      </c>
      <c r="D29" s="193"/>
      <c r="E29" s="193">
        <v>165</v>
      </c>
    </row>
    <row r="30" spans="1:5" x14ac:dyDescent="0.75">
      <c r="A30" s="209" t="s">
        <v>586</v>
      </c>
      <c r="B30" s="193">
        <v>125</v>
      </c>
      <c r="C30" s="193">
        <v>40</v>
      </c>
      <c r="D30" s="193"/>
      <c r="E30" s="193">
        <v>165</v>
      </c>
    </row>
    <row r="31" spans="1:5" x14ac:dyDescent="0.75">
      <c r="A31" s="209" t="s">
        <v>587</v>
      </c>
      <c r="B31" s="193">
        <v>40</v>
      </c>
      <c r="C31" s="193"/>
      <c r="D31" s="193"/>
      <c r="E31" s="193">
        <v>40</v>
      </c>
    </row>
    <row r="32" spans="1:5" x14ac:dyDescent="0.75">
      <c r="A32" s="209" t="s">
        <v>588</v>
      </c>
      <c r="B32" s="193">
        <v>125</v>
      </c>
      <c r="C32" s="193">
        <v>40</v>
      </c>
      <c r="D32" s="193"/>
      <c r="E32" s="193">
        <v>165</v>
      </c>
    </row>
    <row r="33" spans="1:5" x14ac:dyDescent="0.75">
      <c r="A33" s="209" t="s">
        <v>534</v>
      </c>
      <c r="B33" s="193">
        <v>85</v>
      </c>
      <c r="C33" s="193">
        <v>40</v>
      </c>
      <c r="D33" s="193"/>
      <c r="E33" s="193">
        <v>125</v>
      </c>
    </row>
    <row r="34" spans="1:5" x14ac:dyDescent="0.75">
      <c r="A34" s="209" t="s">
        <v>589</v>
      </c>
      <c r="B34" s="193">
        <v>105</v>
      </c>
      <c r="C34" s="193">
        <v>40</v>
      </c>
      <c r="D34" s="193"/>
      <c r="E34" s="193">
        <v>145</v>
      </c>
    </row>
    <row r="35" spans="1:5" x14ac:dyDescent="0.75">
      <c r="A35" s="209" t="s">
        <v>590</v>
      </c>
      <c r="B35" s="193">
        <v>125</v>
      </c>
      <c r="C35" s="193">
        <v>40</v>
      </c>
      <c r="D35" s="193"/>
      <c r="E35" s="193">
        <v>165</v>
      </c>
    </row>
    <row r="36" spans="1:5" x14ac:dyDescent="0.75">
      <c r="A36" s="209" t="s">
        <v>591</v>
      </c>
      <c r="B36" s="193">
        <v>40</v>
      </c>
      <c r="C36" s="193"/>
      <c r="D36" s="193"/>
      <c r="E36" s="193">
        <v>40</v>
      </c>
    </row>
    <row r="37" spans="1:5" x14ac:dyDescent="0.75">
      <c r="A37" s="209" t="s">
        <v>592</v>
      </c>
      <c r="B37" s="193">
        <v>125</v>
      </c>
      <c r="C37" s="193">
        <v>40</v>
      </c>
      <c r="D37" s="193"/>
      <c r="E37" s="193">
        <v>165</v>
      </c>
    </row>
    <row r="38" spans="1:5" x14ac:dyDescent="0.75">
      <c r="A38" s="209" t="s">
        <v>593</v>
      </c>
      <c r="B38" s="193">
        <v>40</v>
      </c>
      <c r="C38" s="193"/>
      <c r="D38" s="193"/>
      <c r="E38" s="193">
        <v>40</v>
      </c>
    </row>
    <row r="39" spans="1:5" x14ac:dyDescent="0.75">
      <c r="A39" s="209" t="s">
        <v>594</v>
      </c>
      <c r="B39" s="193">
        <v>125</v>
      </c>
      <c r="C39" s="193">
        <v>40</v>
      </c>
      <c r="D39" s="193">
        <v>90</v>
      </c>
      <c r="E39" s="193">
        <v>255</v>
      </c>
    </row>
    <row r="40" spans="1:5" x14ac:dyDescent="0.75">
      <c r="A40" s="209" t="s">
        <v>595</v>
      </c>
      <c r="B40" s="193">
        <v>40</v>
      </c>
      <c r="C40" s="193"/>
      <c r="D40" s="193"/>
      <c r="E40" s="193">
        <v>40</v>
      </c>
    </row>
    <row r="41" spans="1:5" x14ac:dyDescent="0.75">
      <c r="A41" s="209" t="s">
        <v>539</v>
      </c>
      <c r="B41" s="193">
        <v>105</v>
      </c>
      <c r="C41" s="193">
        <v>40</v>
      </c>
      <c r="D41" s="193"/>
      <c r="E41" s="193">
        <v>145</v>
      </c>
    </row>
    <row r="42" spans="1:5" x14ac:dyDescent="0.75">
      <c r="A42" s="209" t="s">
        <v>596</v>
      </c>
      <c r="B42" s="193">
        <v>250</v>
      </c>
      <c r="C42" s="193">
        <v>80</v>
      </c>
      <c r="D42" s="193">
        <v>30</v>
      </c>
      <c r="E42" s="193">
        <v>360</v>
      </c>
    </row>
    <row r="43" spans="1:5" x14ac:dyDescent="0.75">
      <c r="A43" s="209" t="s">
        <v>597</v>
      </c>
      <c r="B43" s="193">
        <v>185</v>
      </c>
      <c r="C43" s="193">
        <v>40</v>
      </c>
      <c r="D43" s="193"/>
      <c r="E43" s="193">
        <v>225</v>
      </c>
    </row>
    <row r="44" spans="1:5" x14ac:dyDescent="0.75">
      <c r="A44" s="209" t="s">
        <v>598</v>
      </c>
      <c r="B44" s="193">
        <v>165</v>
      </c>
      <c r="C44" s="193">
        <v>40</v>
      </c>
      <c r="D44" s="193"/>
      <c r="E44" s="193">
        <v>205</v>
      </c>
    </row>
    <row r="45" spans="1:5" x14ac:dyDescent="0.75">
      <c r="A45" s="209" t="s">
        <v>599</v>
      </c>
      <c r="B45" s="193">
        <v>85</v>
      </c>
      <c r="C45" s="193">
        <v>40</v>
      </c>
      <c r="D45" s="193"/>
      <c r="E45" s="193">
        <v>125</v>
      </c>
    </row>
    <row r="46" spans="1:5" x14ac:dyDescent="0.75">
      <c r="A46" s="209" t="s">
        <v>600</v>
      </c>
      <c r="B46" s="193">
        <v>85</v>
      </c>
      <c r="C46" s="193">
        <v>40</v>
      </c>
      <c r="D46" s="193"/>
      <c r="E46" s="193">
        <v>125</v>
      </c>
    </row>
    <row r="47" spans="1:5" x14ac:dyDescent="0.75">
      <c r="A47" s="209" t="s">
        <v>601</v>
      </c>
      <c r="B47" s="193">
        <v>125</v>
      </c>
      <c r="C47" s="193"/>
      <c r="D47" s="193"/>
      <c r="E47" s="193">
        <v>125</v>
      </c>
    </row>
    <row r="48" spans="1:5" x14ac:dyDescent="0.75">
      <c r="A48" s="209" t="s">
        <v>602</v>
      </c>
      <c r="B48" s="193">
        <v>155</v>
      </c>
      <c r="C48" s="193"/>
      <c r="D48" s="193"/>
      <c r="E48" s="193">
        <v>155</v>
      </c>
    </row>
    <row r="49" spans="1:5" x14ac:dyDescent="0.75">
      <c r="A49" s="209" t="s">
        <v>603</v>
      </c>
      <c r="B49" s="193">
        <v>125</v>
      </c>
      <c r="C49" s="193">
        <v>40</v>
      </c>
      <c r="D49" s="193"/>
      <c r="E49" s="193">
        <v>165</v>
      </c>
    </row>
    <row r="50" spans="1:5" x14ac:dyDescent="0.75">
      <c r="A50" s="209" t="s">
        <v>543</v>
      </c>
      <c r="B50" s="193">
        <v>85</v>
      </c>
      <c r="C50" s="193"/>
      <c r="D50" s="193"/>
      <c r="E50" s="193">
        <v>85</v>
      </c>
    </row>
    <row r="51" spans="1:5" x14ac:dyDescent="0.75">
      <c r="A51" s="209" t="s">
        <v>604</v>
      </c>
      <c r="B51" s="193">
        <v>85</v>
      </c>
      <c r="C51" s="193">
        <v>40</v>
      </c>
      <c r="D51" s="193"/>
      <c r="E51" s="193">
        <v>125</v>
      </c>
    </row>
    <row r="52" spans="1:5" x14ac:dyDescent="0.75">
      <c r="A52" s="209" t="s">
        <v>605</v>
      </c>
      <c r="B52" s="193">
        <v>155</v>
      </c>
      <c r="C52" s="193"/>
      <c r="D52" s="193"/>
      <c r="E52" s="193">
        <v>155</v>
      </c>
    </row>
    <row r="53" spans="1:5" x14ac:dyDescent="0.75">
      <c r="A53" s="209" t="s">
        <v>606</v>
      </c>
      <c r="B53" s="193">
        <v>40</v>
      </c>
      <c r="C53" s="193"/>
      <c r="D53" s="193"/>
      <c r="E53" s="193">
        <v>40</v>
      </c>
    </row>
    <row r="54" spans="1:5" x14ac:dyDescent="0.75">
      <c r="A54" s="209" t="s">
        <v>607</v>
      </c>
      <c r="B54" s="193">
        <v>125</v>
      </c>
      <c r="C54" s="193">
        <v>85</v>
      </c>
      <c r="D54" s="193">
        <v>45</v>
      </c>
      <c r="E54" s="193">
        <v>255</v>
      </c>
    </row>
    <row r="55" spans="1:5" x14ac:dyDescent="0.75">
      <c r="A55" s="209" t="s">
        <v>608</v>
      </c>
      <c r="B55" s="193">
        <v>125</v>
      </c>
      <c r="C55" s="193">
        <v>40</v>
      </c>
      <c r="D55" s="193">
        <v>45</v>
      </c>
      <c r="E55" s="193">
        <v>210</v>
      </c>
    </row>
    <row r="56" spans="1:5" x14ac:dyDescent="0.75">
      <c r="A56" s="209" t="s">
        <v>609</v>
      </c>
      <c r="B56" s="193">
        <v>125</v>
      </c>
      <c r="C56" s="193">
        <v>40</v>
      </c>
      <c r="D56" s="193"/>
      <c r="E56" s="193">
        <v>165</v>
      </c>
    </row>
    <row r="57" spans="1:5" x14ac:dyDescent="0.75">
      <c r="A57" s="209" t="s">
        <v>610</v>
      </c>
      <c r="B57" s="193">
        <v>85</v>
      </c>
      <c r="C57" s="193"/>
      <c r="D57" s="193"/>
      <c r="E57" s="193">
        <v>85</v>
      </c>
    </row>
    <row r="58" spans="1:5" x14ac:dyDescent="0.75">
      <c r="A58" s="209" t="s">
        <v>611</v>
      </c>
      <c r="B58" s="193">
        <v>125</v>
      </c>
      <c r="C58" s="193">
        <v>40</v>
      </c>
      <c r="D58" s="193">
        <v>45</v>
      </c>
      <c r="E58" s="193">
        <v>210</v>
      </c>
    </row>
    <row r="59" spans="1:5" x14ac:dyDescent="0.75">
      <c r="A59" s="209" t="s">
        <v>612</v>
      </c>
      <c r="B59" s="193">
        <v>40</v>
      </c>
      <c r="C59" s="193"/>
      <c r="D59" s="193"/>
      <c r="E59" s="193">
        <v>40</v>
      </c>
    </row>
    <row r="60" spans="1:5" x14ac:dyDescent="0.75">
      <c r="A60" s="209" t="s">
        <v>613</v>
      </c>
      <c r="B60" s="193">
        <v>40</v>
      </c>
      <c r="C60" s="193"/>
      <c r="D60" s="193"/>
      <c r="E60" s="193">
        <v>40</v>
      </c>
    </row>
    <row r="61" spans="1:5" x14ac:dyDescent="0.75">
      <c r="A61" s="209" t="s">
        <v>614</v>
      </c>
      <c r="B61" s="193">
        <v>40</v>
      </c>
      <c r="C61" s="193"/>
      <c r="D61" s="193"/>
      <c r="E61" s="193">
        <v>40</v>
      </c>
    </row>
    <row r="62" spans="1:5" x14ac:dyDescent="0.75">
      <c r="A62" s="209" t="s">
        <v>615</v>
      </c>
      <c r="B62" s="193">
        <v>125</v>
      </c>
      <c r="C62" s="193">
        <v>90</v>
      </c>
      <c r="D62" s="193">
        <v>40</v>
      </c>
      <c r="E62" s="193">
        <v>255</v>
      </c>
    </row>
    <row r="63" spans="1:5" x14ac:dyDescent="0.75">
      <c r="A63" s="209" t="s">
        <v>616</v>
      </c>
      <c r="B63" s="193">
        <v>40</v>
      </c>
      <c r="C63" s="193"/>
      <c r="D63" s="193"/>
      <c r="E63" s="193">
        <v>40</v>
      </c>
    </row>
    <row r="64" spans="1:5" x14ac:dyDescent="0.75">
      <c r="A64" s="209" t="s">
        <v>617</v>
      </c>
      <c r="B64" s="193">
        <v>125</v>
      </c>
      <c r="C64" s="193">
        <v>40</v>
      </c>
      <c r="D64" s="193">
        <v>75</v>
      </c>
      <c r="E64" s="193">
        <v>240</v>
      </c>
    </row>
    <row r="65" spans="1:5" x14ac:dyDescent="0.75">
      <c r="A65" s="209" t="s">
        <v>618</v>
      </c>
      <c r="B65" s="193">
        <v>125</v>
      </c>
      <c r="C65" s="193">
        <v>40</v>
      </c>
      <c r="D65" s="193"/>
      <c r="E65" s="193">
        <v>165</v>
      </c>
    </row>
    <row r="66" spans="1:5" x14ac:dyDescent="0.75">
      <c r="A66" s="209" t="s">
        <v>619</v>
      </c>
      <c r="B66" s="193">
        <v>85</v>
      </c>
      <c r="C66" s="193">
        <v>40</v>
      </c>
      <c r="D66" s="193"/>
      <c r="E66" s="193">
        <v>125</v>
      </c>
    </row>
    <row r="67" spans="1:5" x14ac:dyDescent="0.75">
      <c r="A67" s="209" t="s">
        <v>620</v>
      </c>
      <c r="B67" s="193">
        <v>85</v>
      </c>
      <c r="C67" s="193">
        <v>40</v>
      </c>
      <c r="D67" s="193"/>
      <c r="E67" s="193">
        <v>125</v>
      </c>
    </row>
    <row r="68" spans="1:5" x14ac:dyDescent="0.75">
      <c r="A68" s="209" t="s">
        <v>621</v>
      </c>
      <c r="B68" s="193">
        <v>125</v>
      </c>
      <c r="C68" s="193"/>
      <c r="D68" s="193"/>
      <c r="E68" s="193">
        <v>125</v>
      </c>
    </row>
    <row r="69" spans="1:5" x14ac:dyDescent="0.75">
      <c r="A69" s="209" t="s">
        <v>622</v>
      </c>
      <c r="B69" s="193">
        <v>40</v>
      </c>
      <c r="C69" s="193"/>
      <c r="D69" s="193"/>
      <c r="E69" s="193">
        <v>40</v>
      </c>
    </row>
    <row r="70" spans="1:5" x14ac:dyDescent="0.75">
      <c r="A70" s="209" t="s">
        <v>623</v>
      </c>
      <c r="B70" s="193">
        <v>125</v>
      </c>
      <c r="C70" s="193">
        <v>40</v>
      </c>
      <c r="D70" s="193"/>
      <c r="E70" s="193">
        <v>165</v>
      </c>
    </row>
    <row r="71" spans="1:5" x14ac:dyDescent="0.75">
      <c r="A71" s="209" t="s">
        <v>624</v>
      </c>
      <c r="B71" s="193">
        <v>125</v>
      </c>
      <c r="C71" s="193">
        <v>40</v>
      </c>
      <c r="D71" s="193"/>
      <c r="E71" s="193">
        <v>165</v>
      </c>
    </row>
    <row r="72" spans="1:5" x14ac:dyDescent="0.75">
      <c r="A72" s="209" t="s">
        <v>625</v>
      </c>
      <c r="B72" s="193">
        <v>85</v>
      </c>
      <c r="C72" s="193"/>
      <c r="D72" s="193"/>
      <c r="E72" s="193">
        <v>85</v>
      </c>
    </row>
    <row r="73" spans="1:5" x14ac:dyDescent="0.75">
      <c r="A73" s="209" t="s">
        <v>626</v>
      </c>
      <c r="B73" s="193">
        <v>125</v>
      </c>
      <c r="C73" s="193">
        <v>40</v>
      </c>
      <c r="D73" s="193"/>
      <c r="E73" s="193">
        <v>165</v>
      </c>
    </row>
    <row r="74" spans="1:5" x14ac:dyDescent="0.75">
      <c r="A74" s="209" t="s">
        <v>627</v>
      </c>
      <c r="B74" s="193">
        <v>125</v>
      </c>
      <c r="C74" s="193">
        <v>45</v>
      </c>
      <c r="D74" s="193">
        <v>90</v>
      </c>
      <c r="E74" s="193">
        <v>260</v>
      </c>
    </row>
    <row r="75" spans="1:5" x14ac:dyDescent="0.75">
      <c r="A75" s="209" t="s">
        <v>628</v>
      </c>
      <c r="B75" s="193">
        <v>125</v>
      </c>
      <c r="C75" s="193">
        <v>90</v>
      </c>
      <c r="D75" s="193">
        <v>40</v>
      </c>
      <c r="E75" s="193">
        <v>255</v>
      </c>
    </row>
    <row r="76" spans="1:5" x14ac:dyDescent="0.75">
      <c r="A76" s="209" t="s">
        <v>629</v>
      </c>
      <c r="B76" s="193">
        <v>125</v>
      </c>
      <c r="C76" s="193">
        <v>40</v>
      </c>
      <c r="D76" s="193"/>
      <c r="E76" s="193">
        <v>165</v>
      </c>
    </row>
    <row r="77" spans="1:5" x14ac:dyDescent="0.75">
      <c r="A77" s="209" t="s">
        <v>630</v>
      </c>
      <c r="B77" s="193">
        <v>85</v>
      </c>
      <c r="C77" s="193">
        <v>40</v>
      </c>
      <c r="D77" s="193"/>
      <c r="E77" s="193">
        <v>125</v>
      </c>
    </row>
    <row r="78" spans="1:5" x14ac:dyDescent="0.75">
      <c r="A78" s="209" t="s">
        <v>631</v>
      </c>
      <c r="B78" s="193">
        <v>40</v>
      </c>
      <c r="C78" s="193"/>
      <c r="D78" s="193"/>
      <c r="E78" s="193">
        <v>40</v>
      </c>
    </row>
    <row r="79" spans="1:5" x14ac:dyDescent="0.75">
      <c r="A79" s="209" t="s">
        <v>632</v>
      </c>
      <c r="B79" s="193">
        <v>125</v>
      </c>
      <c r="C79" s="193"/>
      <c r="D79" s="193"/>
      <c r="E79" s="193">
        <v>125</v>
      </c>
    </row>
    <row r="80" spans="1:5" x14ac:dyDescent="0.75">
      <c r="A80" s="209" t="s">
        <v>633</v>
      </c>
      <c r="B80" s="193">
        <v>40</v>
      </c>
      <c r="C80" s="193"/>
      <c r="D80" s="193"/>
      <c r="E80" s="193">
        <v>40</v>
      </c>
    </row>
    <row r="81" spans="1:5" x14ac:dyDescent="0.75">
      <c r="A81" s="209" t="s">
        <v>634</v>
      </c>
      <c r="B81" s="193">
        <v>40</v>
      </c>
      <c r="C81" s="193"/>
      <c r="D81" s="193"/>
      <c r="E81" s="193">
        <v>40</v>
      </c>
    </row>
    <row r="82" spans="1:5" x14ac:dyDescent="0.75">
      <c r="A82" s="209" t="s">
        <v>815</v>
      </c>
      <c r="B82" s="193">
        <v>125</v>
      </c>
      <c r="C82" s="193">
        <v>40</v>
      </c>
      <c r="D82" s="193"/>
      <c r="E82" s="193">
        <v>165</v>
      </c>
    </row>
    <row r="83" spans="1:5" x14ac:dyDescent="0.75">
      <c r="A83" s="209" t="s">
        <v>635</v>
      </c>
      <c r="B83" s="193">
        <v>125</v>
      </c>
      <c r="C83" s="193">
        <v>40</v>
      </c>
      <c r="D83" s="193"/>
      <c r="E83" s="193">
        <v>165</v>
      </c>
    </row>
    <row r="84" spans="1:5" x14ac:dyDescent="0.75">
      <c r="A84" s="209" t="s">
        <v>636</v>
      </c>
      <c r="B84" s="193">
        <v>125</v>
      </c>
      <c r="C84" s="193"/>
      <c r="D84" s="193"/>
      <c r="E84" s="193">
        <v>125</v>
      </c>
    </row>
    <row r="85" spans="1:5" x14ac:dyDescent="0.75">
      <c r="A85" s="209" t="s">
        <v>637</v>
      </c>
      <c r="B85" s="193">
        <v>125</v>
      </c>
      <c r="C85" s="193">
        <v>40</v>
      </c>
      <c r="D85" s="193"/>
      <c r="E85" s="193">
        <v>165</v>
      </c>
    </row>
    <row r="86" spans="1:5" x14ac:dyDescent="0.75">
      <c r="A86" s="209" t="s">
        <v>638</v>
      </c>
      <c r="B86" s="193">
        <v>85</v>
      </c>
      <c r="C86" s="193"/>
      <c r="D86" s="193"/>
      <c r="E86" s="193">
        <v>85</v>
      </c>
    </row>
    <row r="87" spans="1:5" x14ac:dyDescent="0.75">
      <c r="A87" s="209" t="s">
        <v>639</v>
      </c>
      <c r="B87" s="193">
        <v>105</v>
      </c>
      <c r="C87" s="193">
        <v>40</v>
      </c>
      <c r="D87" s="193"/>
      <c r="E87" s="193">
        <v>145</v>
      </c>
    </row>
    <row r="88" spans="1:5" x14ac:dyDescent="0.75">
      <c r="A88" s="209" t="s">
        <v>640</v>
      </c>
      <c r="B88" s="193">
        <v>125</v>
      </c>
      <c r="C88" s="193">
        <v>40</v>
      </c>
      <c r="D88" s="193"/>
      <c r="E88" s="193">
        <v>165</v>
      </c>
    </row>
    <row r="89" spans="1:5" x14ac:dyDescent="0.75">
      <c r="A89" s="209" t="s">
        <v>641</v>
      </c>
      <c r="B89" s="193">
        <v>40</v>
      </c>
      <c r="C89" s="193"/>
      <c r="D89" s="193"/>
      <c r="E89" s="193">
        <v>40</v>
      </c>
    </row>
    <row r="90" spans="1:5" x14ac:dyDescent="0.75">
      <c r="A90" s="209" t="s">
        <v>642</v>
      </c>
      <c r="B90" s="193">
        <v>105</v>
      </c>
      <c r="C90" s="193">
        <v>40</v>
      </c>
      <c r="D90" s="193"/>
      <c r="E90" s="193">
        <v>145</v>
      </c>
    </row>
    <row r="91" spans="1:5" x14ac:dyDescent="0.75">
      <c r="A91" s="209" t="s">
        <v>643</v>
      </c>
      <c r="B91" s="193">
        <v>125</v>
      </c>
      <c r="C91" s="193">
        <v>40</v>
      </c>
      <c r="D91" s="193"/>
      <c r="E91" s="193">
        <v>165</v>
      </c>
    </row>
    <row r="92" spans="1:5" x14ac:dyDescent="0.75">
      <c r="A92" s="209" t="s">
        <v>644</v>
      </c>
      <c r="B92" s="193">
        <v>85</v>
      </c>
      <c r="C92" s="193"/>
      <c r="D92" s="193"/>
      <c r="E92" s="193">
        <v>85</v>
      </c>
    </row>
    <row r="93" spans="1:5" x14ac:dyDescent="0.75">
      <c r="A93" s="209" t="s">
        <v>645</v>
      </c>
      <c r="B93" s="193">
        <v>85</v>
      </c>
      <c r="C93" s="193"/>
      <c r="D93" s="193"/>
      <c r="E93" s="193">
        <v>85</v>
      </c>
    </row>
    <row r="94" spans="1:5" x14ac:dyDescent="0.75">
      <c r="A94" s="209" t="s">
        <v>646</v>
      </c>
      <c r="B94" s="193">
        <v>125</v>
      </c>
      <c r="C94" s="193">
        <v>40</v>
      </c>
      <c r="D94" s="193"/>
      <c r="E94" s="193">
        <v>165</v>
      </c>
    </row>
    <row r="95" spans="1:5" x14ac:dyDescent="0.75">
      <c r="A95" s="209" t="s">
        <v>647</v>
      </c>
      <c r="B95" s="193">
        <v>125</v>
      </c>
      <c r="C95" s="193">
        <v>40</v>
      </c>
      <c r="D95" s="193"/>
      <c r="E95" s="193">
        <v>165</v>
      </c>
    </row>
    <row r="96" spans="1:5" x14ac:dyDescent="0.75">
      <c r="A96" s="209" t="s">
        <v>648</v>
      </c>
      <c r="B96" s="193">
        <v>40</v>
      </c>
      <c r="C96" s="193"/>
      <c r="D96" s="193"/>
      <c r="E96" s="193">
        <v>40</v>
      </c>
    </row>
    <row r="97" spans="1:5" x14ac:dyDescent="0.75">
      <c r="A97" s="209" t="s">
        <v>649</v>
      </c>
      <c r="B97" s="193">
        <v>125</v>
      </c>
      <c r="C97" s="193"/>
      <c r="D97" s="193"/>
      <c r="E97" s="193">
        <v>125</v>
      </c>
    </row>
    <row r="98" spans="1:5" x14ac:dyDescent="0.75">
      <c r="A98" s="209" t="s">
        <v>650</v>
      </c>
      <c r="B98" s="193">
        <v>40</v>
      </c>
      <c r="C98" s="193"/>
      <c r="D98" s="193"/>
      <c r="E98" s="193">
        <v>40</v>
      </c>
    </row>
    <row r="99" spans="1:5" x14ac:dyDescent="0.75">
      <c r="A99" s="209" t="s">
        <v>651</v>
      </c>
      <c r="B99" s="193">
        <v>155</v>
      </c>
      <c r="C99" s="193">
        <v>40</v>
      </c>
      <c r="D99" s="193">
        <v>30</v>
      </c>
      <c r="E99" s="193">
        <v>225</v>
      </c>
    </row>
    <row r="100" spans="1:5" x14ac:dyDescent="0.75">
      <c r="A100" s="209" t="s">
        <v>652</v>
      </c>
      <c r="B100" s="193">
        <v>40</v>
      </c>
      <c r="C100" s="193"/>
      <c r="D100" s="193"/>
      <c r="E100" s="193">
        <v>40</v>
      </c>
    </row>
    <row r="101" spans="1:5" x14ac:dyDescent="0.75">
      <c r="A101" s="209" t="s">
        <v>653</v>
      </c>
      <c r="B101" s="193">
        <v>40</v>
      </c>
      <c r="C101" s="193"/>
      <c r="D101" s="193"/>
      <c r="E101" s="193">
        <v>40</v>
      </c>
    </row>
    <row r="102" spans="1:5" x14ac:dyDescent="0.75">
      <c r="A102" s="209" t="s">
        <v>654</v>
      </c>
      <c r="B102" s="193">
        <v>40</v>
      </c>
      <c r="C102" s="193"/>
      <c r="D102" s="193"/>
      <c r="E102" s="193">
        <v>40</v>
      </c>
    </row>
    <row r="103" spans="1:5" x14ac:dyDescent="0.75">
      <c r="A103" s="209" t="s">
        <v>655</v>
      </c>
      <c r="B103" s="193">
        <v>105</v>
      </c>
      <c r="C103" s="193">
        <v>40</v>
      </c>
      <c r="D103" s="193"/>
      <c r="E103" s="193">
        <v>145</v>
      </c>
    </row>
    <row r="104" spans="1:5" x14ac:dyDescent="0.75">
      <c r="A104" s="209" t="s">
        <v>656</v>
      </c>
      <c r="B104" s="193">
        <v>85</v>
      </c>
      <c r="C104" s="193"/>
      <c r="D104" s="193"/>
      <c r="E104" s="193">
        <v>85</v>
      </c>
    </row>
    <row r="105" spans="1:5" x14ac:dyDescent="0.75">
      <c r="A105" s="209" t="s">
        <v>657</v>
      </c>
      <c r="B105" s="193">
        <v>125</v>
      </c>
      <c r="C105" s="193">
        <v>40</v>
      </c>
      <c r="D105" s="193">
        <v>30</v>
      </c>
      <c r="E105" s="193">
        <v>195</v>
      </c>
    </row>
    <row r="106" spans="1:5" x14ac:dyDescent="0.75">
      <c r="A106" s="209" t="s">
        <v>658</v>
      </c>
      <c r="B106" s="193">
        <v>125</v>
      </c>
      <c r="C106" s="193">
        <v>40</v>
      </c>
      <c r="D106" s="193">
        <v>45</v>
      </c>
      <c r="E106" s="193">
        <v>210</v>
      </c>
    </row>
    <row r="107" spans="1:5" x14ac:dyDescent="0.75">
      <c r="A107" s="209" t="s">
        <v>659</v>
      </c>
      <c r="B107" s="193">
        <v>125</v>
      </c>
      <c r="C107" s="193">
        <v>85</v>
      </c>
      <c r="D107" s="193">
        <v>40</v>
      </c>
      <c r="E107" s="193">
        <v>250</v>
      </c>
    </row>
    <row r="108" spans="1:5" x14ac:dyDescent="0.75">
      <c r="A108" s="209" t="s">
        <v>660</v>
      </c>
      <c r="B108" s="193">
        <v>125</v>
      </c>
      <c r="C108" s="193">
        <v>40</v>
      </c>
      <c r="D108" s="193">
        <v>30</v>
      </c>
      <c r="E108" s="193">
        <v>195</v>
      </c>
    </row>
    <row r="109" spans="1:5" x14ac:dyDescent="0.75">
      <c r="A109" s="209" t="s">
        <v>661</v>
      </c>
      <c r="B109" s="193">
        <v>125</v>
      </c>
      <c r="C109" s="193">
        <v>45</v>
      </c>
      <c r="D109" s="193">
        <v>40</v>
      </c>
      <c r="E109" s="193">
        <v>210</v>
      </c>
    </row>
    <row r="110" spans="1:5" x14ac:dyDescent="0.75">
      <c r="A110" s="209" t="s">
        <v>662</v>
      </c>
      <c r="B110" s="193">
        <v>125</v>
      </c>
      <c r="C110" s="193">
        <v>40</v>
      </c>
      <c r="D110" s="193"/>
      <c r="E110" s="193">
        <v>165</v>
      </c>
    </row>
    <row r="111" spans="1:5" x14ac:dyDescent="0.75">
      <c r="A111" s="209" t="s">
        <v>663</v>
      </c>
      <c r="B111" s="193">
        <v>125</v>
      </c>
      <c r="C111" s="193">
        <v>40</v>
      </c>
      <c r="D111" s="193"/>
      <c r="E111" s="193">
        <v>165</v>
      </c>
    </row>
    <row r="112" spans="1:5" x14ac:dyDescent="0.75">
      <c r="A112" s="209" t="s">
        <v>664</v>
      </c>
      <c r="B112" s="193">
        <v>125</v>
      </c>
      <c r="C112" s="193">
        <v>40</v>
      </c>
      <c r="D112" s="193"/>
      <c r="E112" s="193">
        <v>165</v>
      </c>
    </row>
    <row r="113" spans="1:5" x14ac:dyDescent="0.75">
      <c r="A113" s="209" t="s">
        <v>665</v>
      </c>
      <c r="B113" s="193">
        <v>125</v>
      </c>
      <c r="C113" s="193">
        <v>40</v>
      </c>
      <c r="D113" s="193">
        <v>30</v>
      </c>
      <c r="E113" s="193">
        <v>195</v>
      </c>
    </row>
    <row r="114" spans="1:5" x14ac:dyDescent="0.75">
      <c r="A114" s="209" t="s">
        <v>666</v>
      </c>
      <c r="B114" s="193">
        <v>125</v>
      </c>
      <c r="C114" s="193">
        <v>40</v>
      </c>
      <c r="D114" s="193"/>
      <c r="E114" s="193">
        <v>165</v>
      </c>
    </row>
    <row r="115" spans="1:5" x14ac:dyDescent="0.75">
      <c r="A115" s="209" t="s">
        <v>667</v>
      </c>
      <c r="B115" s="193">
        <v>85</v>
      </c>
      <c r="C115" s="193">
        <v>40</v>
      </c>
      <c r="D115" s="193"/>
      <c r="E115" s="193">
        <v>125</v>
      </c>
    </row>
    <row r="116" spans="1:5" x14ac:dyDescent="0.75">
      <c r="A116" s="209" t="s">
        <v>668</v>
      </c>
      <c r="B116" s="193">
        <v>125</v>
      </c>
      <c r="C116" s="193">
        <v>40</v>
      </c>
      <c r="D116" s="193"/>
      <c r="E116" s="193">
        <v>165</v>
      </c>
    </row>
    <row r="117" spans="1:5" x14ac:dyDescent="0.75">
      <c r="A117" s="209" t="s">
        <v>669</v>
      </c>
      <c r="B117" s="193">
        <v>125</v>
      </c>
      <c r="C117" s="193">
        <v>40</v>
      </c>
      <c r="D117" s="193"/>
      <c r="E117" s="193">
        <v>165</v>
      </c>
    </row>
    <row r="118" spans="1:5" x14ac:dyDescent="0.75">
      <c r="A118" s="209" t="s">
        <v>670</v>
      </c>
      <c r="B118" s="193">
        <v>125</v>
      </c>
      <c r="C118" s="193">
        <v>90</v>
      </c>
      <c r="D118" s="193">
        <v>40</v>
      </c>
      <c r="E118" s="193">
        <v>255</v>
      </c>
    </row>
    <row r="119" spans="1:5" x14ac:dyDescent="0.75">
      <c r="A119" s="209" t="s">
        <v>671</v>
      </c>
      <c r="B119" s="193">
        <v>85</v>
      </c>
      <c r="C119" s="193">
        <v>40</v>
      </c>
      <c r="D119" s="193"/>
      <c r="E119" s="193">
        <v>125</v>
      </c>
    </row>
    <row r="120" spans="1:5" x14ac:dyDescent="0.75">
      <c r="A120" s="209" t="s">
        <v>672</v>
      </c>
      <c r="B120" s="193">
        <v>85</v>
      </c>
      <c r="C120" s="193"/>
      <c r="D120" s="193"/>
      <c r="E120" s="193">
        <v>85</v>
      </c>
    </row>
    <row r="121" spans="1:5" x14ac:dyDescent="0.75">
      <c r="A121" s="209" t="s">
        <v>673</v>
      </c>
      <c r="B121" s="193">
        <v>125</v>
      </c>
      <c r="C121" s="193"/>
      <c r="D121" s="193"/>
      <c r="E121" s="193">
        <v>125</v>
      </c>
    </row>
    <row r="122" spans="1:5" x14ac:dyDescent="0.75">
      <c r="A122" s="209" t="s">
        <v>674</v>
      </c>
      <c r="B122" s="193">
        <v>40</v>
      </c>
      <c r="C122" s="193"/>
      <c r="D122" s="193"/>
      <c r="E122" s="193">
        <v>40</v>
      </c>
    </row>
    <row r="123" spans="1:5" x14ac:dyDescent="0.75">
      <c r="A123" s="209" t="s">
        <v>675</v>
      </c>
      <c r="B123" s="193">
        <v>85</v>
      </c>
      <c r="C123" s="193"/>
      <c r="D123" s="193"/>
      <c r="E123" s="193">
        <v>85</v>
      </c>
    </row>
    <row r="124" spans="1:5" x14ac:dyDescent="0.75">
      <c r="A124" s="209" t="s">
        <v>676</v>
      </c>
      <c r="B124" s="193">
        <v>40</v>
      </c>
      <c r="C124" s="193"/>
      <c r="D124" s="193"/>
      <c r="E124" s="193">
        <v>40</v>
      </c>
    </row>
    <row r="125" spans="1:5" x14ac:dyDescent="0.75">
      <c r="A125" s="209" t="s">
        <v>677</v>
      </c>
      <c r="B125" s="193">
        <v>125</v>
      </c>
      <c r="C125" s="193">
        <v>40</v>
      </c>
      <c r="D125" s="193"/>
      <c r="E125" s="193">
        <v>165</v>
      </c>
    </row>
    <row r="126" spans="1:5" x14ac:dyDescent="0.75">
      <c r="A126" s="209" t="s">
        <v>678</v>
      </c>
      <c r="B126" s="193">
        <v>40</v>
      </c>
      <c r="C126" s="193"/>
      <c r="D126" s="193"/>
      <c r="E126" s="193">
        <v>40</v>
      </c>
    </row>
    <row r="127" spans="1:5" x14ac:dyDescent="0.75">
      <c r="A127" s="209" t="s">
        <v>679</v>
      </c>
      <c r="B127" s="193">
        <v>40</v>
      </c>
      <c r="C127" s="193"/>
      <c r="D127" s="193"/>
      <c r="E127" s="193">
        <v>40</v>
      </c>
    </row>
    <row r="128" spans="1:5" x14ac:dyDescent="0.75">
      <c r="A128" s="209" t="s">
        <v>680</v>
      </c>
      <c r="B128" s="193">
        <v>125</v>
      </c>
      <c r="C128" s="193">
        <v>40</v>
      </c>
      <c r="D128" s="193"/>
      <c r="E128" s="193">
        <v>165</v>
      </c>
    </row>
    <row r="129" spans="1:5" x14ac:dyDescent="0.75">
      <c r="A129" s="209" t="s">
        <v>812</v>
      </c>
      <c r="B129" s="193">
        <v>40</v>
      </c>
      <c r="C129" s="193"/>
      <c r="D129" s="193"/>
      <c r="E129" s="193">
        <v>40</v>
      </c>
    </row>
    <row r="130" spans="1:5" x14ac:dyDescent="0.75">
      <c r="A130" s="209" t="s">
        <v>681</v>
      </c>
      <c r="B130" s="193">
        <v>85</v>
      </c>
      <c r="C130" s="193"/>
      <c r="D130" s="193"/>
      <c r="E130" s="193">
        <v>85</v>
      </c>
    </row>
    <row r="131" spans="1:5" x14ac:dyDescent="0.75">
      <c r="A131" s="209" t="s">
        <v>682</v>
      </c>
      <c r="B131" s="193">
        <v>125</v>
      </c>
      <c r="C131" s="193">
        <v>40</v>
      </c>
      <c r="D131" s="193"/>
      <c r="E131" s="193">
        <v>165</v>
      </c>
    </row>
    <row r="132" spans="1:5" x14ac:dyDescent="0.75">
      <c r="A132" s="209" t="s">
        <v>683</v>
      </c>
      <c r="B132" s="193">
        <v>85</v>
      </c>
      <c r="C132" s="193"/>
      <c r="D132" s="193"/>
      <c r="E132" s="193">
        <v>85</v>
      </c>
    </row>
    <row r="133" spans="1:5" x14ac:dyDescent="0.75">
      <c r="A133" s="209" t="s">
        <v>684</v>
      </c>
      <c r="B133" s="193">
        <v>125</v>
      </c>
      <c r="C133" s="193">
        <v>40</v>
      </c>
      <c r="D133" s="193"/>
      <c r="E133" s="193">
        <v>165</v>
      </c>
    </row>
    <row r="134" spans="1:5" x14ac:dyDescent="0.75">
      <c r="A134" s="209" t="s">
        <v>685</v>
      </c>
      <c r="B134" s="193">
        <v>105</v>
      </c>
      <c r="C134" s="193">
        <v>40</v>
      </c>
      <c r="D134" s="193"/>
      <c r="E134" s="193">
        <v>145</v>
      </c>
    </row>
    <row r="135" spans="1:5" x14ac:dyDescent="0.75">
      <c r="A135" s="209" t="s">
        <v>104</v>
      </c>
      <c r="B135" s="193">
        <v>12985</v>
      </c>
      <c r="C135" s="193">
        <v>3425</v>
      </c>
      <c r="D135" s="193">
        <v>1040</v>
      </c>
      <c r="E135" s="193">
        <v>17450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5" priority="3"/>
    <cfRule type="duplicateValues" dxfId="14" priority="4"/>
  </conditionalFormatting>
  <conditionalFormatting sqref="A1:A5">
    <cfRule type="duplicateValues" dxfId="13" priority="2"/>
  </conditionalFormatting>
  <conditionalFormatting sqref="A1:A5">
    <cfRule type="duplicateValues" dxfId="12" priority="1"/>
  </conditionalFormatting>
  <pageMargins left="0.7" right="0.7" top="0.75" bottom="0.75" header="0.3" footer="0.3"/>
  <pageSetup orientation="portrait" horizontalDpi="1200" verticalDpi="1200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6B66-6772-4A30-94DE-5FEF550305F0}">
  <sheetPr>
    <tabColor rgb="FFFF0000"/>
  </sheetPr>
  <dimension ref="A1:E121"/>
  <sheetViews>
    <sheetView workbookViewId="0">
      <selection activeCell="I8" sqref="I8:I9"/>
    </sheetView>
  </sheetViews>
  <sheetFormatPr defaultRowHeight="16" x14ac:dyDescent="0.8"/>
  <cols>
    <col min="1" max="1" width="13.875" style="168" bestFit="1" customWidth="1"/>
    <col min="2" max="2" width="16.2890625" style="168" customWidth="1"/>
    <col min="3" max="3" width="16.08203125" style="168" customWidth="1"/>
    <col min="4" max="4" width="16.375" style="168" customWidth="1"/>
    <col min="5" max="5" width="10.9140625" style="168" bestFit="1" customWidth="1"/>
    <col min="6" max="16384" width="8.6640625" style="168"/>
  </cols>
  <sheetData>
    <row r="1" spans="1:5" x14ac:dyDescent="0.8">
      <c r="A1" s="249" t="s">
        <v>86</v>
      </c>
      <c r="B1" s="249"/>
      <c r="C1" s="167" t="s">
        <v>88</v>
      </c>
      <c r="D1" s="252">
        <v>44801</v>
      </c>
      <c r="E1" s="252"/>
    </row>
    <row r="2" spans="1:5" x14ac:dyDescent="0.8">
      <c r="A2" s="249" t="s">
        <v>87</v>
      </c>
      <c r="B2" s="249"/>
      <c r="C2" s="167" t="s">
        <v>90</v>
      </c>
      <c r="D2" s="252">
        <v>44800</v>
      </c>
      <c r="E2" s="252"/>
    </row>
    <row r="3" spans="1:5" x14ac:dyDescent="0.8">
      <c r="A3" s="249" t="s">
        <v>89</v>
      </c>
      <c r="B3" s="249"/>
      <c r="C3" s="167" t="s">
        <v>92</v>
      </c>
      <c r="D3" s="250">
        <v>48</v>
      </c>
      <c r="E3" s="250"/>
    </row>
    <row r="4" spans="1:5" x14ac:dyDescent="0.8">
      <c r="A4" s="249" t="s">
        <v>91</v>
      </c>
      <c r="B4" s="249"/>
      <c r="C4" s="167" t="s">
        <v>94</v>
      </c>
      <c r="D4" s="250" t="s">
        <v>95</v>
      </c>
      <c r="E4" s="250"/>
    </row>
    <row r="5" spans="1:5" x14ac:dyDescent="0.8">
      <c r="A5" s="249" t="s">
        <v>93</v>
      </c>
      <c r="B5" s="249"/>
      <c r="C5" s="167" t="s">
        <v>109</v>
      </c>
      <c r="D5" s="251">
        <f>GETPIVOTDATA("Sum of Total",$A$5)</f>
        <v>15470</v>
      </c>
      <c r="E5" s="251"/>
    </row>
    <row r="6" spans="1:5" ht="32" x14ac:dyDescent="0.8">
      <c r="A6" s="170" t="s">
        <v>103</v>
      </c>
      <c r="B6" s="211" t="s">
        <v>105</v>
      </c>
      <c r="C6" s="211" t="s">
        <v>106</v>
      </c>
      <c r="D6" s="211" t="s">
        <v>107</v>
      </c>
      <c r="E6" s="211" t="s">
        <v>108</v>
      </c>
    </row>
    <row r="7" spans="1:5" x14ac:dyDescent="0.8">
      <c r="A7" s="208" t="s">
        <v>686</v>
      </c>
      <c r="B7" s="170">
        <v>125</v>
      </c>
      <c r="C7" s="170">
        <v>40</v>
      </c>
      <c r="D7" s="170"/>
      <c r="E7" s="170">
        <v>165</v>
      </c>
    </row>
    <row r="8" spans="1:5" x14ac:dyDescent="0.8">
      <c r="A8" s="208" t="s">
        <v>687</v>
      </c>
      <c r="B8" s="170">
        <v>125</v>
      </c>
      <c r="C8" s="170"/>
      <c r="D8" s="170"/>
      <c r="E8" s="170">
        <v>125</v>
      </c>
    </row>
    <row r="9" spans="1:5" x14ac:dyDescent="0.8">
      <c r="A9" s="208" t="s">
        <v>688</v>
      </c>
      <c r="B9" s="170">
        <v>125</v>
      </c>
      <c r="C9" s="170">
        <v>40</v>
      </c>
      <c r="D9" s="170">
        <v>45</v>
      </c>
      <c r="E9" s="170">
        <v>210</v>
      </c>
    </row>
    <row r="10" spans="1:5" x14ac:dyDescent="0.8">
      <c r="A10" s="208" t="s">
        <v>689</v>
      </c>
      <c r="B10" s="170">
        <v>40</v>
      </c>
      <c r="C10" s="170"/>
      <c r="D10" s="170"/>
      <c r="E10" s="170">
        <v>40</v>
      </c>
    </row>
    <row r="11" spans="1:5" x14ac:dyDescent="0.8">
      <c r="A11" s="208" t="s">
        <v>690</v>
      </c>
      <c r="B11" s="170">
        <v>125</v>
      </c>
      <c r="C11" s="170">
        <v>40</v>
      </c>
      <c r="D11" s="170"/>
      <c r="E11" s="170">
        <v>165</v>
      </c>
    </row>
    <row r="12" spans="1:5" x14ac:dyDescent="0.8">
      <c r="A12" s="208" t="s">
        <v>691</v>
      </c>
      <c r="B12" s="170">
        <v>145</v>
      </c>
      <c r="C12" s="170">
        <v>40</v>
      </c>
      <c r="D12" s="170"/>
      <c r="E12" s="170">
        <v>185</v>
      </c>
    </row>
    <row r="13" spans="1:5" x14ac:dyDescent="0.8">
      <c r="A13" s="208" t="s">
        <v>692</v>
      </c>
      <c r="B13" s="170">
        <v>125</v>
      </c>
      <c r="C13" s="170">
        <v>40</v>
      </c>
      <c r="D13" s="170"/>
      <c r="E13" s="170">
        <v>165</v>
      </c>
    </row>
    <row r="14" spans="1:5" x14ac:dyDescent="0.8">
      <c r="A14" s="208" t="s">
        <v>693</v>
      </c>
      <c r="B14" s="170">
        <v>40</v>
      </c>
      <c r="C14" s="170"/>
      <c r="D14" s="170"/>
      <c r="E14" s="170">
        <v>40</v>
      </c>
    </row>
    <row r="15" spans="1:5" x14ac:dyDescent="0.8">
      <c r="A15" s="208" t="s">
        <v>694</v>
      </c>
      <c r="B15" s="170">
        <v>125</v>
      </c>
      <c r="C15" s="170">
        <v>40</v>
      </c>
      <c r="D15" s="170">
        <v>90</v>
      </c>
      <c r="E15" s="170">
        <v>255</v>
      </c>
    </row>
    <row r="16" spans="1:5" x14ac:dyDescent="0.8">
      <c r="A16" s="208" t="s">
        <v>695</v>
      </c>
      <c r="B16" s="170">
        <v>125</v>
      </c>
      <c r="C16" s="170">
        <v>40</v>
      </c>
      <c r="D16" s="170">
        <v>45</v>
      </c>
      <c r="E16" s="170">
        <v>210</v>
      </c>
    </row>
    <row r="17" spans="1:5" x14ac:dyDescent="0.8">
      <c r="A17" s="208" t="s">
        <v>696</v>
      </c>
      <c r="B17" s="170">
        <v>125</v>
      </c>
      <c r="C17" s="170">
        <v>40</v>
      </c>
      <c r="D17" s="170">
        <v>90</v>
      </c>
      <c r="E17" s="170">
        <v>255</v>
      </c>
    </row>
    <row r="18" spans="1:5" x14ac:dyDescent="0.8">
      <c r="A18" s="208" t="s">
        <v>697</v>
      </c>
      <c r="B18" s="170">
        <v>155</v>
      </c>
      <c r="C18" s="170">
        <v>40</v>
      </c>
      <c r="D18" s="170"/>
      <c r="E18" s="170">
        <v>195</v>
      </c>
    </row>
    <row r="19" spans="1:5" x14ac:dyDescent="0.8">
      <c r="A19" s="208" t="s">
        <v>698</v>
      </c>
      <c r="B19" s="170">
        <v>125</v>
      </c>
      <c r="C19" s="170">
        <v>90</v>
      </c>
      <c r="D19" s="170">
        <v>40</v>
      </c>
      <c r="E19" s="170">
        <v>255</v>
      </c>
    </row>
    <row r="20" spans="1:5" x14ac:dyDescent="0.8">
      <c r="A20" s="208" t="s">
        <v>699</v>
      </c>
      <c r="B20" s="170">
        <v>125</v>
      </c>
      <c r="C20" s="170">
        <v>40</v>
      </c>
      <c r="D20" s="170"/>
      <c r="E20" s="170">
        <v>165</v>
      </c>
    </row>
    <row r="21" spans="1:5" x14ac:dyDescent="0.8">
      <c r="A21" s="208" t="s">
        <v>700</v>
      </c>
      <c r="B21" s="170">
        <v>185</v>
      </c>
      <c r="C21" s="170">
        <v>40</v>
      </c>
      <c r="D21" s="170"/>
      <c r="E21" s="170">
        <v>225</v>
      </c>
    </row>
    <row r="22" spans="1:5" x14ac:dyDescent="0.8">
      <c r="A22" s="208" t="s">
        <v>701</v>
      </c>
      <c r="B22" s="170">
        <v>105</v>
      </c>
      <c r="C22" s="170"/>
      <c r="D22" s="170"/>
      <c r="E22" s="170">
        <v>105</v>
      </c>
    </row>
    <row r="23" spans="1:5" x14ac:dyDescent="0.8">
      <c r="A23" s="208" t="s">
        <v>530</v>
      </c>
      <c r="B23" s="170">
        <v>125</v>
      </c>
      <c r="C23" s="170">
        <v>40</v>
      </c>
      <c r="D23" s="170">
        <v>45</v>
      </c>
      <c r="E23" s="170">
        <v>210</v>
      </c>
    </row>
    <row r="24" spans="1:5" x14ac:dyDescent="0.8">
      <c r="A24" s="208" t="s">
        <v>702</v>
      </c>
      <c r="B24" s="170">
        <v>105</v>
      </c>
      <c r="C24" s="170">
        <v>40</v>
      </c>
      <c r="D24" s="170"/>
      <c r="E24" s="170">
        <v>145</v>
      </c>
    </row>
    <row r="25" spans="1:5" x14ac:dyDescent="0.8">
      <c r="A25" s="208" t="s">
        <v>703</v>
      </c>
      <c r="B25" s="170">
        <v>105</v>
      </c>
      <c r="C25" s="170">
        <v>40</v>
      </c>
      <c r="D25" s="170"/>
      <c r="E25" s="170">
        <v>145</v>
      </c>
    </row>
    <row r="26" spans="1:5" x14ac:dyDescent="0.8">
      <c r="A26" s="208" t="s">
        <v>704</v>
      </c>
      <c r="B26" s="170">
        <v>185</v>
      </c>
      <c r="C26" s="170">
        <v>40</v>
      </c>
      <c r="D26" s="170">
        <v>225</v>
      </c>
      <c r="E26" s="170">
        <v>450</v>
      </c>
    </row>
    <row r="27" spans="1:5" x14ac:dyDescent="0.8">
      <c r="A27" s="208" t="s">
        <v>705</v>
      </c>
      <c r="B27" s="170">
        <v>105</v>
      </c>
      <c r="C27" s="170"/>
      <c r="D27" s="170"/>
      <c r="E27" s="170">
        <v>105</v>
      </c>
    </row>
    <row r="28" spans="1:5" x14ac:dyDescent="0.8">
      <c r="A28" s="208" t="s">
        <v>706</v>
      </c>
      <c r="B28" s="170">
        <v>85</v>
      </c>
      <c r="C28" s="170"/>
      <c r="D28" s="170"/>
      <c r="E28" s="170">
        <v>85</v>
      </c>
    </row>
    <row r="29" spans="1:5" x14ac:dyDescent="0.8">
      <c r="A29" s="208" t="s">
        <v>707</v>
      </c>
      <c r="B29" s="170">
        <v>85</v>
      </c>
      <c r="C29" s="170"/>
      <c r="D29" s="170"/>
      <c r="E29" s="170">
        <v>85</v>
      </c>
    </row>
    <row r="30" spans="1:5" x14ac:dyDescent="0.8">
      <c r="A30" s="208" t="s">
        <v>708</v>
      </c>
      <c r="B30" s="170">
        <v>85</v>
      </c>
      <c r="C30" s="170"/>
      <c r="D30" s="170"/>
      <c r="E30" s="170">
        <v>85</v>
      </c>
    </row>
    <row r="31" spans="1:5" x14ac:dyDescent="0.8">
      <c r="A31" s="208" t="s">
        <v>709</v>
      </c>
      <c r="B31" s="170">
        <v>85</v>
      </c>
      <c r="C31" s="170"/>
      <c r="D31" s="170"/>
      <c r="E31" s="170">
        <v>85</v>
      </c>
    </row>
    <row r="32" spans="1:5" x14ac:dyDescent="0.8">
      <c r="A32" s="208" t="s">
        <v>710</v>
      </c>
      <c r="B32" s="170">
        <v>125</v>
      </c>
      <c r="C32" s="170">
        <v>40</v>
      </c>
      <c r="D32" s="170">
        <v>45</v>
      </c>
      <c r="E32" s="170">
        <v>210</v>
      </c>
    </row>
    <row r="33" spans="1:5" x14ac:dyDescent="0.8">
      <c r="A33" s="208" t="s">
        <v>711</v>
      </c>
      <c r="B33" s="170">
        <v>125</v>
      </c>
      <c r="C33" s="170">
        <v>40</v>
      </c>
      <c r="D33" s="170"/>
      <c r="E33" s="170">
        <v>165</v>
      </c>
    </row>
    <row r="34" spans="1:5" x14ac:dyDescent="0.8">
      <c r="A34" s="208" t="s">
        <v>712</v>
      </c>
      <c r="B34" s="170">
        <v>105</v>
      </c>
      <c r="C34" s="170"/>
      <c r="D34" s="170"/>
      <c r="E34" s="170">
        <v>105</v>
      </c>
    </row>
    <row r="35" spans="1:5" x14ac:dyDescent="0.8">
      <c r="A35" s="208" t="s">
        <v>713</v>
      </c>
      <c r="B35" s="170">
        <v>125</v>
      </c>
      <c r="C35" s="170">
        <v>40</v>
      </c>
      <c r="D35" s="170"/>
      <c r="E35" s="170">
        <v>165</v>
      </c>
    </row>
    <row r="36" spans="1:5" x14ac:dyDescent="0.8">
      <c r="A36" s="208" t="s">
        <v>714</v>
      </c>
      <c r="B36" s="170">
        <v>125</v>
      </c>
      <c r="C36" s="170">
        <v>40</v>
      </c>
      <c r="D36" s="170"/>
      <c r="E36" s="170">
        <v>165</v>
      </c>
    </row>
    <row r="37" spans="1:5" x14ac:dyDescent="0.8">
      <c r="A37" s="208" t="s">
        <v>715</v>
      </c>
      <c r="B37" s="170">
        <v>185</v>
      </c>
      <c r="C37" s="170">
        <v>40</v>
      </c>
      <c r="D37" s="170"/>
      <c r="E37" s="170">
        <v>225</v>
      </c>
    </row>
    <row r="38" spans="1:5" x14ac:dyDescent="0.8">
      <c r="A38" s="208" t="s">
        <v>716</v>
      </c>
      <c r="B38" s="170">
        <v>40</v>
      </c>
      <c r="C38" s="170"/>
      <c r="D38" s="170"/>
      <c r="E38" s="170">
        <v>40</v>
      </c>
    </row>
    <row r="39" spans="1:5" x14ac:dyDescent="0.8">
      <c r="A39" s="208" t="s">
        <v>717</v>
      </c>
      <c r="B39" s="170">
        <v>80</v>
      </c>
      <c r="C39" s="170"/>
      <c r="D39" s="170"/>
      <c r="E39" s="170">
        <v>80</v>
      </c>
    </row>
    <row r="40" spans="1:5" x14ac:dyDescent="0.8">
      <c r="A40" s="208" t="s">
        <v>652</v>
      </c>
      <c r="B40" s="170">
        <v>40</v>
      </c>
      <c r="C40" s="170"/>
      <c r="D40" s="170"/>
      <c r="E40" s="170">
        <v>40</v>
      </c>
    </row>
    <row r="41" spans="1:5" x14ac:dyDescent="0.8">
      <c r="A41" s="208" t="s">
        <v>718</v>
      </c>
      <c r="B41" s="170">
        <v>125</v>
      </c>
      <c r="C41" s="170">
        <v>40</v>
      </c>
      <c r="D41" s="170"/>
      <c r="E41" s="170">
        <v>165</v>
      </c>
    </row>
    <row r="42" spans="1:5" x14ac:dyDescent="0.8">
      <c r="A42" s="208" t="s">
        <v>719</v>
      </c>
      <c r="B42" s="170">
        <v>125</v>
      </c>
      <c r="C42" s="170">
        <v>45</v>
      </c>
      <c r="D42" s="170">
        <v>40</v>
      </c>
      <c r="E42" s="170">
        <v>210</v>
      </c>
    </row>
    <row r="43" spans="1:5" x14ac:dyDescent="0.8">
      <c r="A43" s="208" t="s">
        <v>720</v>
      </c>
      <c r="B43" s="170">
        <v>40</v>
      </c>
      <c r="C43" s="170"/>
      <c r="D43" s="170"/>
      <c r="E43" s="170">
        <v>40</v>
      </c>
    </row>
    <row r="44" spans="1:5" x14ac:dyDescent="0.8">
      <c r="A44" s="208" t="s">
        <v>721</v>
      </c>
      <c r="B44" s="170">
        <v>85</v>
      </c>
      <c r="C44" s="170">
        <v>40</v>
      </c>
      <c r="D44" s="170"/>
      <c r="E44" s="170">
        <v>125</v>
      </c>
    </row>
    <row r="45" spans="1:5" x14ac:dyDescent="0.8">
      <c r="A45" s="208" t="s">
        <v>722</v>
      </c>
      <c r="B45" s="170">
        <v>165</v>
      </c>
      <c r="C45" s="170">
        <v>40</v>
      </c>
      <c r="D45" s="170"/>
      <c r="E45" s="170">
        <v>205</v>
      </c>
    </row>
    <row r="46" spans="1:5" x14ac:dyDescent="0.8">
      <c r="A46" s="208" t="s">
        <v>723</v>
      </c>
      <c r="B46" s="170">
        <v>125</v>
      </c>
      <c r="C46" s="170">
        <v>40</v>
      </c>
      <c r="D46" s="170"/>
      <c r="E46" s="170">
        <v>165</v>
      </c>
    </row>
    <row r="47" spans="1:5" x14ac:dyDescent="0.8">
      <c r="A47" s="208" t="s">
        <v>724</v>
      </c>
      <c r="B47" s="170">
        <v>125</v>
      </c>
      <c r="C47" s="170">
        <v>40</v>
      </c>
      <c r="D47" s="170">
        <v>90</v>
      </c>
      <c r="E47" s="170">
        <v>255</v>
      </c>
    </row>
    <row r="48" spans="1:5" x14ac:dyDescent="0.8">
      <c r="A48" s="208" t="s">
        <v>725</v>
      </c>
      <c r="B48" s="170">
        <v>125</v>
      </c>
      <c r="C48" s="170">
        <v>40</v>
      </c>
      <c r="D48" s="170"/>
      <c r="E48" s="170">
        <v>165</v>
      </c>
    </row>
    <row r="49" spans="1:5" x14ac:dyDescent="0.8">
      <c r="A49" s="208" t="s">
        <v>726</v>
      </c>
      <c r="B49" s="170">
        <v>85</v>
      </c>
      <c r="C49" s="170">
        <v>40</v>
      </c>
      <c r="D49" s="170"/>
      <c r="E49" s="170">
        <v>125</v>
      </c>
    </row>
    <row r="50" spans="1:5" x14ac:dyDescent="0.8">
      <c r="A50" s="208" t="s">
        <v>727</v>
      </c>
      <c r="B50" s="170">
        <v>85</v>
      </c>
      <c r="C50" s="170">
        <v>40</v>
      </c>
      <c r="D50" s="170"/>
      <c r="E50" s="170">
        <v>125</v>
      </c>
    </row>
    <row r="51" spans="1:5" x14ac:dyDescent="0.8">
      <c r="A51" s="208" t="s">
        <v>728</v>
      </c>
      <c r="B51" s="170">
        <v>125</v>
      </c>
      <c r="C51" s="170">
        <v>40</v>
      </c>
      <c r="D51" s="170"/>
      <c r="E51" s="170">
        <v>165</v>
      </c>
    </row>
    <row r="52" spans="1:5" x14ac:dyDescent="0.8">
      <c r="A52" s="208" t="s">
        <v>729</v>
      </c>
      <c r="B52" s="170">
        <v>125</v>
      </c>
      <c r="C52" s="170">
        <v>40</v>
      </c>
      <c r="D52" s="170"/>
      <c r="E52" s="170">
        <v>165</v>
      </c>
    </row>
    <row r="53" spans="1:5" x14ac:dyDescent="0.8">
      <c r="A53" s="208" t="s">
        <v>730</v>
      </c>
      <c r="B53" s="170">
        <v>40</v>
      </c>
      <c r="C53" s="170"/>
      <c r="D53" s="170"/>
      <c r="E53" s="170">
        <v>40</v>
      </c>
    </row>
    <row r="54" spans="1:5" x14ac:dyDescent="0.8">
      <c r="A54" s="208" t="s">
        <v>731</v>
      </c>
      <c r="B54" s="170">
        <v>125</v>
      </c>
      <c r="C54" s="170"/>
      <c r="D54" s="170"/>
      <c r="E54" s="170">
        <v>125</v>
      </c>
    </row>
    <row r="55" spans="1:5" x14ac:dyDescent="0.8">
      <c r="A55" s="208" t="s">
        <v>732</v>
      </c>
      <c r="B55" s="170">
        <v>40</v>
      </c>
      <c r="C55" s="170"/>
      <c r="D55" s="170"/>
      <c r="E55" s="170">
        <v>40</v>
      </c>
    </row>
    <row r="56" spans="1:5" x14ac:dyDescent="0.8">
      <c r="A56" s="208" t="s">
        <v>733</v>
      </c>
      <c r="B56" s="170">
        <v>155</v>
      </c>
      <c r="C56" s="170">
        <v>40</v>
      </c>
      <c r="D56" s="170"/>
      <c r="E56" s="170">
        <v>195</v>
      </c>
    </row>
    <row r="57" spans="1:5" x14ac:dyDescent="0.8">
      <c r="A57" s="208" t="s">
        <v>734</v>
      </c>
      <c r="B57" s="170">
        <v>125</v>
      </c>
      <c r="C57" s="170"/>
      <c r="D57" s="170"/>
      <c r="E57" s="170">
        <v>125</v>
      </c>
    </row>
    <row r="58" spans="1:5" x14ac:dyDescent="0.8">
      <c r="A58" s="208" t="s">
        <v>735</v>
      </c>
      <c r="B58" s="170">
        <v>125</v>
      </c>
      <c r="C58" s="170">
        <v>40</v>
      </c>
      <c r="D58" s="170"/>
      <c r="E58" s="170">
        <v>165</v>
      </c>
    </row>
    <row r="59" spans="1:5" x14ac:dyDescent="0.8">
      <c r="A59" s="208" t="s">
        <v>736</v>
      </c>
      <c r="B59" s="170">
        <v>125</v>
      </c>
      <c r="C59" s="170">
        <v>40</v>
      </c>
      <c r="D59" s="170">
        <v>90</v>
      </c>
      <c r="E59" s="170">
        <v>255</v>
      </c>
    </row>
    <row r="60" spans="1:5" x14ac:dyDescent="0.8">
      <c r="A60" s="208" t="s">
        <v>737</v>
      </c>
      <c r="B60" s="170">
        <v>40</v>
      </c>
      <c r="C60" s="170"/>
      <c r="D60" s="170"/>
      <c r="E60" s="170">
        <v>40</v>
      </c>
    </row>
    <row r="61" spans="1:5" x14ac:dyDescent="0.8">
      <c r="A61" s="208" t="s">
        <v>738</v>
      </c>
      <c r="B61" s="170">
        <v>85</v>
      </c>
      <c r="C61" s="170"/>
      <c r="D61" s="170"/>
      <c r="E61" s="170">
        <v>85</v>
      </c>
    </row>
    <row r="62" spans="1:5" x14ac:dyDescent="0.8">
      <c r="A62" s="208" t="s">
        <v>739</v>
      </c>
      <c r="B62" s="170">
        <v>125</v>
      </c>
      <c r="C62" s="170">
        <v>40</v>
      </c>
      <c r="D62" s="170">
        <v>30</v>
      </c>
      <c r="E62" s="170">
        <v>195</v>
      </c>
    </row>
    <row r="63" spans="1:5" x14ac:dyDescent="0.8">
      <c r="A63" s="208" t="s">
        <v>740</v>
      </c>
      <c r="B63" s="170">
        <v>40</v>
      </c>
      <c r="C63" s="170"/>
      <c r="D63" s="170"/>
      <c r="E63" s="170">
        <v>40</v>
      </c>
    </row>
    <row r="64" spans="1:5" x14ac:dyDescent="0.8">
      <c r="A64" s="208" t="s">
        <v>741</v>
      </c>
      <c r="B64" s="170">
        <v>40</v>
      </c>
      <c r="C64" s="170"/>
      <c r="D64" s="170"/>
      <c r="E64" s="170">
        <v>40</v>
      </c>
    </row>
    <row r="65" spans="1:5" x14ac:dyDescent="0.8">
      <c r="A65" s="208" t="s">
        <v>742</v>
      </c>
      <c r="B65" s="170">
        <v>125</v>
      </c>
      <c r="C65" s="170">
        <v>40</v>
      </c>
      <c r="D65" s="170"/>
      <c r="E65" s="170">
        <v>165</v>
      </c>
    </row>
    <row r="66" spans="1:5" x14ac:dyDescent="0.8">
      <c r="A66" s="208" t="s">
        <v>743</v>
      </c>
      <c r="B66" s="170">
        <v>125</v>
      </c>
      <c r="C66" s="170"/>
      <c r="D66" s="170"/>
      <c r="E66" s="170">
        <v>125</v>
      </c>
    </row>
    <row r="67" spans="1:5" x14ac:dyDescent="0.8">
      <c r="A67" s="208" t="s">
        <v>744</v>
      </c>
      <c r="B67" s="170">
        <v>40</v>
      </c>
      <c r="C67" s="170"/>
      <c r="D67" s="170"/>
      <c r="E67" s="170">
        <v>40</v>
      </c>
    </row>
    <row r="68" spans="1:5" x14ac:dyDescent="0.8">
      <c r="A68" s="208" t="s">
        <v>745</v>
      </c>
      <c r="B68" s="170">
        <v>125</v>
      </c>
      <c r="C68" s="170">
        <v>40</v>
      </c>
      <c r="D68" s="170">
        <v>90</v>
      </c>
      <c r="E68" s="170">
        <v>255</v>
      </c>
    </row>
    <row r="69" spans="1:5" x14ac:dyDescent="0.8">
      <c r="A69" s="208" t="s">
        <v>746</v>
      </c>
      <c r="B69" s="170">
        <v>40</v>
      </c>
      <c r="C69" s="170"/>
      <c r="D69" s="170"/>
      <c r="E69" s="170">
        <v>40</v>
      </c>
    </row>
    <row r="70" spans="1:5" x14ac:dyDescent="0.8">
      <c r="A70" s="208" t="s">
        <v>747</v>
      </c>
      <c r="B70" s="170">
        <v>125</v>
      </c>
      <c r="C70" s="170">
        <v>40</v>
      </c>
      <c r="D70" s="170"/>
      <c r="E70" s="170">
        <v>165</v>
      </c>
    </row>
    <row r="71" spans="1:5" x14ac:dyDescent="0.8">
      <c r="A71" s="208" t="s">
        <v>748</v>
      </c>
      <c r="B71" s="170">
        <v>105</v>
      </c>
      <c r="C71" s="170"/>
      <c r="D71" s="170"/>
      <c r="E71" s="170">
        <v>105</v>
      </c>
    </row>
    <row r="72" spans="1:5" x14ac:dyDescent="0.8">
      <c r="A72" s="208" t="s">
        <v>749</v>
      </c>
      <c r="B72" s="170">
        <v>195</v>
      </c>
      <c r="C72" s="170">
        <v>40</v>
      </c>
      <c r="D72" s="170"/>
      <c r="E72" s="170">
        <v>235</v>
      </c>
    </row>
    <row r="73" spans="1:5" x14ac:dyDescent="0.8">
      <c r="A73" s="208" t="s">
        <v>750</v>
      </c>
      <c r="B73" s="170">
        <v>125</v>
      </c>
      <c r="C73" s="170">
        <v>40</v>
      </c>
      <c r="D73" s="170"/>
      <c r="E73" s="170">
        <v>165</v>
      </c>
    </row>
    <row r="74" spans="1:5" x14ac:dyDescent="0.8">
      <c r="A74" s="208" t="s">
        <v>751</v>
      </c>
      <c r="B74" s="170">
        <v>125</v>
      </c>
      <c r="C74" s="170">
        <v>40</v>
      </c>
      <c r="D74" s="170">
        <v>30</v>
      </c>
      <c r="E74" s="170">
        <v>195</v>
      </c>
    </row>
    <row r="75" spans="1:5" x14ac:dyDescent="0.8">
      <c r="A75" s="208" t="s">
        <v>752</v>
      </c>
      <c r="B75" s="170">
        <v>125</v>
      </c>
      <c r="C75" s="170">
        <v>40</v>
      </c>
      <c r="D75" s="170"/>
      <c r="E75" s="170">
        <v>165</v>
      </c>
    </row>
    <row r="76" spans="1:5" x14ac:dyDescent="0.8">
      <c r="A76" s="208" t="s">
        <v>753</v>
      </c>
      <c r="B76" s="170">
        <v>40</v>
      </c>
      <c r="C76" s="170"/>
      <c r="D76" s="170"/>
      <c r="E76" s="170">
        <v>40</v>
      </c>
    </row>
    <row r="77" spans="1:5" x14ac:dyDescent="0.8">
      <c r="A77" s="208" t="s">
        <v>754</v>
      </c>
      <c r="B77" s="170">
        <v>125</v>
      </c>
      <c r="C77" s="170"/>
      <c r="D77" s="170"/>
      <c r="E77" s="170">
        <v>125</v>
      </c>
    </row>
    <row r="78" spans="1:5" x14ac:dyDescent="0.8">
      <c r="A78" s="208" t="s">
        <v>755</v>
      </c>
      <c r="B78" s="170">
        <v>125</v>
      </c>
      <c r="C78" s="170">
        <v>40</v>
      </c>
      <c r="D78" s="170"/>
      <c r="E78" s="170">
        <v>165</v>
      </c>
    </row>
    <row r="79" spans="1:5" x14ac:dyDescent="0.8">
      <c r="A79" s="208" t="s">
        <v>756</v>
      </c>
      <c r="B79" s="170">
        <v>125</v>
      </c>
      <c r="C79" s="170">
        <v>40</v>
      </c>
      <c r="D79" s="170">
        <v>30</v>
      </c>
      <c r="E79" s="170">
        <v>195</v>
      </c>
    </row>
    <row r="80" spans="1:5" x14ac:dyDescent="0.8">
      <c r="A80" s="208" t="s">
        <v>757</v>
      </c>
      <c r="B80" s="170">
        <v>125</v>
      </c>
      <c r="C80" s="170">
        <v>40</v>
      </c>
      <c r="D80" s="170"/>
      <c r="E80" s="170">
        <v>165</v>
      </c>
    </row>
    <row r="81" spans="1:5" x14ac:dyDescent="0.8">
      <c r="A81" s="208" t="s">
        <v>758</v>
      </c>
      <c r="B81" s="170">
        <v>125</v>
      </c>
      <c r="C81" s="170">
        <v>40</v>
      </c>
      <c r="D81" s="170"/>
      <c r="E81" s="170">
        <v>165</v>
      </c>
    </row>
    <row r="82" spans="1:5" x14ac:dyDescent="0.8">
      <c r="A82" s="208" t="s">
        <v>759</v>
      </c>
      <c r="B82" s="170">
        <v>40</v>
      </c>
      <c r="C82" s="170"/>
      <c r="D82" s="170"/>
      <c r="E82" s="170">
        <v>40</v>
      </c>
    </row>
    <row r="83" spans="1:5" x14ac:dyDescent="0.8">
      <c r="A83" s="208" t="s">
        <v>760</v>
      </c>
      <c r="B83" s="170">
        <v>125</v>
      </c>
      <c r="C83" s="170">
        <v>40</v>
      </c>
      <c r="D83" s="170"/>
      <c r="E83" s="170">
        <v>165</v>
      </c>
    </row>
    <row r="84" spans="1:5" x14ac:dyDescent="0.8">
      <c r="A84" s="208" t="s">
        <v>761</v>
      </c>
      <c r="B84" s="170">
        <v>65</v>
      </c>
      <c r="C84" s="170"/>
      <c r="D84" s="170"/>
      <c r="E84" s="170">
        <v>65</v>
      </c>
    </row>
    <row r="85" spans="1:5" x14ac:dyDescent="0.8">
      <c r="A85" s="208" t="s">
        <v>762</v>
      </c>
      <c r="B85" s="170">
        <v>85</v>
      </c>
      <c r="C85" s="170">
        <v>40</v>
      </c>
      <c r="D85" s="170"/>
      <c r="E85" s="170">
        <v>125</v>
      </c>
    </row>
    <row r="86" spans="1:5" x14ac:dyDescent="0.8">
      <c r="A86" s="208" t="s">
        <v>763</v>
      </c>
      <c r="B86" s="170">
        <v>155</v>
      </c>
      <c r="C86" s="170">
        <v>40</v>
      </c>
      <c r="D86" s="170"/>
      <c r="E86" s="170">
        <v>195</v>
      </c>
    </row>
    <row r="87" spans="1:5" x14ac:dyDescent="0.8">
      <c r="A87" s="208" t="s">
        <v>764</v>
      </c>
      <c r="B87" s="170">
        <v>125</v>
      </c>
      <c r="C87" s="170">
        <v>40</v>
      </c>
      <c r="D87" s="170">
        <v>45</v>
      </c>
      <c r="E87" s="170">
        <v>210</v>
      </c>
    </row>
    <row r="88" spans="1:5" x14ac:dyDescent="0.8">
      <c r="A88" s="208" t="s">
        <v>765</v>
      </c>
      <c r="B88" s="170">
        <v>85</v>
      </c>
      <c r="C88" s="170">
        <v>40</v>
      </c>
      <c r="D88" s="170"/>
      <c r="E88" s="170">
        <v>125</v>
      </c>
    </row>
    <row r="89" spans="1:5" x14ac:dyDescent="0.8">
      <c r="A89" s="208" t="s">
        <v>766</v>
      </c>
      <c r="B89" s="170">
        <v>40</v>
      </c>
      <c r="C89" s="170"/>
      <c r="D89" s="170"/>
      <c r="E89" s="170">
        <v>40</v>
      </c>
    </row>
    <row r="90" spans="1:5" x14ac:dyDescent="0.8">
      <c r="A90" s="208" t="s">
        <v>767</v>
      </c>
      <c r="B90" s="170">
        <v>125</v>
      </c>
      <c r="C90" s="170">
        <v>55</v>
      </c>
      <c r="D90" s="170"/>
      <c r="E90" s="170">
        <v>180</v>
      </c>
    </row>
    <row r="91" spans="1:5" x14ac:dyDescent="0.8">
      <c r="A91" s="208" t="s">
        <v>768</v>
      </c>
      <c r="B91" s="170">
        <v>40</v>
      </c>
      <c r="C91" s="170"/>
      <c r="D91" s="170"/>
      <c r="E91" s="170">
        <v>40</v>
      </c>
    </row>
    <row r="92" spans="1:5" x14ac:dyDescent="0.8">
      <c r="A92" s="208" t="s">
        <v>769</v>
      </c>
      <c r="B92" s="170">
        <v>40</v>
      </c>
      <c r="C92" s="170"/>
      <c r="D92" s="170"/>
      <c r="E92" s="170">
        <v>40</v>
      </c>
    </row>
    <row r="93" spans="1:5" x14ac:dyDescent="0.8">
      <c r="A93" s="208" t="s">
        <v>770</v>
      </c>
      <c r="B93" s="170">
        <v>125</v>
      </c>
      <c r="C93" s="170"/>
      <c r="D93" s="170"/>
      <c r="E93" s="170">
        <v>125</v>
      </c>
    </row>
    <row r="94" spans="1:5" x14ac:dyDescent="0.8">
      <c r="A94" s="208" t="s">
        <v>771</v>
      </c>
      <c r="B94" s="170">
        <v>40</v>
      </c>
      <c r="C94" s="170"/>
      <c r="D94" s="170"/>
      <c r="E94" s="170">
        <v>40</v>
      </c>
    </row>
    <row r="95" spans="1:5" x14ac:dyDescent="0.8">
      <c r="A95" s="208" t="s">
        <v>772</v>
      </c>
      <c r="B95" s="170">
        <v>125</v>
      </c>
      <c r="C95" s="170"/>
      <c r="D95" s="170"/>
      <c r="E95" s="170">
        <v>125</v>
      </c>
    </row>
    <row r="96" spans="1:5" x14ac:dyDescent="0.8">
      <c r="A96" s="208" t="s">
        <v>773</v>
      </c>
      <c r="B96" s="170">
        <v>125</v>
      </c>
      <c r="C96" s="170"/>
      <c r="D96" s="170"/>
      <c r="E96" s="170">
        <v>125</v>
      </c>
    </row>
    <row r="97" spans="1:5" x14ac:dyDescent="0.8">
      <c r="A97" s="208" t="s">
        <v>774</v>
      </c>
      <c r="B97" s="170">
        <v>40</v>
      </c>
      <c r="C97" s="170"/>
      <c r="D97" s="170"/>
      <c r="E97" s="170">
        <v>40</v>
      </c>
    </row>
    <row r="98" spans="1:5" x14ac:dyDescent="0.8">
      <c r="A98" s="208" t="s">
        <v>775</v>
      </c>
      <c r="B98" s="170">
        <v>125</v>
      </c>
      <c r="C98" s="170">
        <v>40</v>
      </c>
      <c r="D98" s="170"/>
      <c r="E98" s="170">
        <v>165</v>
      </c>
    </row>
    <row r="99" spans="1:5" x14ac:dyDescent="0.8">
      <c r="A99" s="208" t="s">
        <v>776</v>
      </c>
      <c r="B99" s="170">
        <v>125</v>
      </c>
      <c r="C99" s="170"/>
      <c r="D99" s="170"/>
      <c r="E99" s="170">
        <v>125</v>
      </c>
    </row>
    <row r="100" spans="1:5" x14ac:dyDescent="0.8">
      <c r="A100" s="208" t="s">
        <v>777</v>
      </c>
      <c r="B100" s="170">
        <v>125</v>
      </c>
      <c r="C100" s="170"/>
      <c r="D100" s="170"/>
      <c r="E100" s="170">
        <v>125</v>
      </c>
    </row>
    <row r="101" spans="1:5" x14ac:dyDescent="0.8">
      <c r="A101" s="208" t="s">
        <v>778</v>
      </c>
      <c r="B101" s="170">
        <v>85</v>
      </c>
      <c r="C101" s="170"/>
      <c r="D101" s="170"/>
      <c r="E101" s="170">
        <v>85</v>
      </c>
    </row>
    <row r="102" spans="1:5" x14ac:dyDescent="0.8">
      <c r="A102" s="208" t="s">
        <v>779</v>
      </c>
      <c r="B102" s="170">
        <v>85</v>
      </c>
      <c r="C102" s="170"/>
      <c r="D102" s="170"/>
      <c r="E102" s="170">
        <v>85</v>
      </c>
    </row>
    <row r="103" spans="1:5" x14ac:dyDescent="0.8">
      <c r="A103" s="208" t="s">
        <v>780</v>
      </c>
      <c r="B103" s="170">
        <v>40</v>
      </c>
      <c r="C103" s="170"/>
      <c r="D103" s="170"/>
      <c r="E103" s="170">
        <v>40</v>
      </c>
    </row>
    <row r="104" spans="1:5" x14ac:dyDescent="0.8">
      <c r="A104" s="208" t="s">
        <v>781</v>
      </c>
      <c r="B104" s="170">
        <v>105</v>
      </c>
      <c r="C104" s="170">
        <v>40</v>
      </c>
      <c r="D104" s="170"/>
      <c r="E104" s="170">
        <v>145</v>
      </c>
    </row>
    <row r="105" spans="1:5" x14ac:dyDescent="0.8">
      <c r="A105" s="208" t="s">
        <v>782</v>
      </c>
      <c r="B105" s="170">
        <v>40</v>
      </c>
      <c r="C105" s="170"/>
      <c r="D105" s="170"/>
      <c r="E105" s="170">
        <v>40</v>
      </c>
    </row>
    <row r="106" spans="1:5" x14ac:dyDescent="0.8">
      <c r="A106" s="208" t="s">
        <v>783</v>
      </c>
      <c r="B106" s="170">
        <v>125</v>
      </c>
      <c r="C106" s="170">
        <v>40</v>
      </c>
      <c r="D106" s="170"/>
      <c r="E106" s="170">
        <v>165</v>
      </c>
    </row>
    <row r="107" spans="1:5" x14ac:dyDescent="0.8">
      <c r="A107" s="208" t="s">
        <v>784</v>
      </c>
      <c r="B107" s="170">
        <v>125</v>
      </c>
      <c r="C107" s="170">
        <v>40</v>
      </c>
      <c r="D107" s="170"/>
      <c r="E107" s="170">
        <v>165</v>
      </c>
    </row>
    <row r="108" spans="1:5" x14ac:dyDescent="0.8">
      <c r="A108" s="208" t="s">
        <v>785</v>
      </c>
      <c r="B108" s="170">
        <v>125</v>
      </c>
      <c r="C108" s="170">
        <v>40</v>
      </c>
      <c r="D108" s="170"/>
      <c r="E108" s="170">
        <v>165</v>
      </c>
    </row>
    <row r="109" spans="1:5" x14ac:dyDescent="0.8">
      <c r="A109" s="208" t="s">
        <v>786</v>
      </c>
      <c r="B109" s="170">
        <v>125</v>
      </c>
      <c r="C109" s="170"/>
      <c r="D109" s="170"/>
      <c r="E109" s="170">
        <v>125</v>
      </c>
    </row>
    <row r="110" spans="1:5" x14ac:dyDescent="0.8">
      <c r="A110" s="208" t="s">
        <v>787</v>
      </c>
      <c r="B110" s="170">
        <v>125</v>
      </c>
      <c r="C110" s="170"/>
      <c r="D110" s="170"/>
      <c r="E110" s="170">
        <v>125</v>
      </c>
    </row>
    <row r="111" spans="1:5" x14ac:dyDescent="0.8">
      <c r="A111" s="208" t="s">
        <v>788</v>
      </c>
      <c r="B111" s="170">
        <v>40</v>
      </c>
      <c r="C111" s="170"/>
      <c r="D111" s="170"/>
      <c r="E111" s="170">
        <v>40</v>
      </c>
    </row>
    <row r="112" spans="1:5" x14ac:dyDescent="0.8">
      <c r="A112" s="208" t="s">
        <v>789</v>
      </c>
      <c r="B112" s="170">
        <v>125</v>
      </c>
      <c r="C112" s="170">
        <v>40</v>
      </c>
      <c r="D112" s="170"/>
      <c r="E112" s="170">
        <v>165</v>
      </c>
    </row>
    <row r="113" spans="1:5" x14ac:dyDescent="0.8">
      <c r="A113" s="208" t="s">
        <v>790</v>
      </c>
      <c r="B113" s="170">
        <v>40</v>
      </c>
      <c r="C113" s="170"/>
      <c r="D113" s="170"/>
      <c r="E113" s="170">
        <v>40</v>
      </c>
    </row>
    <row r="114" spans="1:5" x14ac:dyDescent="0.8">
      <c r="A114" s="208" t="s">
        <v>791</v>
      </c>
      <c r="B114" s="170">
        <v>125</v>
      </c>
      <c r="C114" s="170">
        <v>40</v>
      </c>
      <c r="D114" s="170"/>
      <c r="E114" s="170">
        <v>165</v>
      </c>
    </row>
    <row r="115" spans="1:5" x14ac:dyDescent="0.8">
      <c r="A115" s="208" t="s">
        <v>792</v>
      </c>
      <c r="B115" s="170">
        <v>125</v>
      </c>
      <c r="C115" s="170">
        <v>40</v>
      </c>
      <c r="D115" s="170"/>
      <c r="E115" s="170">
        <v>165</v>
      </c>
    </row>
    <row r="116" spans="1:5" x14ac:dyDescent="0.8">
      <c r="A116" s="208" t="s">
        <v>793</v>
      </c>
      <c r="B116" s="170">
        <v>85</v>
      </c>
      <c r="C116" s="170"/>
      <c r="D116" s="170"/>
      <c r="E116" s="170">
        <v>85</v>
      </c>
    </row>
    <row r="117" spans="1:5" x14ac:dyDescent="0.8">
      <c r="A117" s="208" t="s">
        <v>794</v>
      </c>
      <c r="B117" s="170">
        <v>85</v>
      </c>
      <c r="C117" s="170">
        <v>40</v>
      </c>
      <c r="D117" s="170"/>
      <c r="E117" s="170">
        <v>125</v>
      </c>
    </row>
    <row r="118" spans="1:5" x14ac:dyDescent="0.8">
      <c r="A118" s="208" t="s">
        <v>795</v>
      </c>
      <c r="B118" s="170">
        <v>125</v>
      </c>
      <c r="C118" s="170"/>
      <c r="D118" s="170"/>
      <c r="E118" s="170">
        <v>125</v>
      </c>
    </row>
    <row r="119" spans="1:5" x14ac:dyDescent="0.8">
      <c r="A119" s="208" t="s">
        <v>796</v>
      </c>
      <c r="B119" s="170">
        <v>125</v>
      </c>
      <c r="C119" s="170"/>
      <c r="D119" s="170"/>
      <c r="E119" s="170">
        <v>125</v>
      </c>
    </row>
    <row r="120" spans="1:5" x14ac:dyDescent="0.8">
      <c r="A120" s="208" t="s">
        <v>797</v>
      </c>
      <c r="B120" s="170">
        <v>85</v>
      </c>
      <c r="C120" s="170"/>
      <c r="D120" s="170"/>
      <c r="E120" s="170">
        <v>85</v>
      </c>
    </row>
    <row r="121" spans="1:5" x14ac:dyDescent="0.8">
      <c r="A121" s="208" t="s">
        <v>104</v>
      </c>
      <c r="B121" s="170">
        <v>11850</v>
      </c>
      <c r="C121" s="170">
        <v>2550</v>
      </c>
      <c r="D121" s="170">
        <v>1070</v>
      </c>
      <c r="E121" s="170">
        <v>15470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11" priority="3"/>
    <cfRule type="duplicateValues" dxfId="10" priority="4"/>
  </conditionalFormatting>
  <conditionalFormatting sqref="A1:A5">
    <cfRule type="duplicateValues" dxfId="9" priority="2"/>
  </conditionalFormatting>
  <conditionalFormatting sqref="A1:A5">
    <cfRule type="duplicateValues" dxfId="8" priority="1"/>
  </conditionalFormatting>
  <pageMargins left="0.7" right="0.7" top="0.75" bottom="0.75" header="0.3" footer="0.3"/>
  <pageSetup orientation="portrait" horizontalDpi="1200" verticalDpi="1200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37BC-E864-473B-B1EA-98BEE8707804}">
  <sheetPr>
    <tabColor rgb="FFFF0000"/>
  </sheetPr>
  <dimension ref="A1:E108"/>
  <sheetViews>
    <sheetView workbookViewId="0">
      <selection sqref="A1:E5"/>
    </sheetView>
  </sheetViews>
  <sheetFormatPr defaultRowHeight="16" x14ac:dyDescent="0.8"/>
  <cols>
    <col min="1" max="1" width="15.5390625" style="168" bestFit="1" customWidth="1"/>
    <col min="2" max="2" width="21.2890625" style="168" bestFit="1" customWidth="1"/>
    <col min="3" max="4" width="18.45703125" style="168" bestFit="1" customWidth="1"/>
    <col min="5" max="5" width="11.20703125" style="168" bestFit="1" customWidth="1"/>
    <col min="6" max="16384" width="8.6640625" style="168"/>
  </cols>
  <sheetData>
    <row r="1" spans="1:5" x14ac:dyDescent="0.8">
      <c r="A1" s="249" t="s">
        <v>86</v>
      </c>
      <c r="B1" s="249"/>
      <c r="C1" s="167" t="s">
        <v>88</v>
      </c>
      <c r="D1" s="252">
        <v>44808</v>
      </c>
      <c r="E1" s="252"/>
    </row>
    <row r="2" spans="1:5" x14ac:dyDescent="0.8">
      <c r="A2" s="249" t="s">
        <v>87</v>
      </c>
      <c r="B2" s="249"/>
      <c r="C2" s="167" t="s">
        <v>90</v>
      </c>
      <c r="D2" s="252">
        <v>44807</v>
      </c>
      <c r="E2" s="252"/>
    </row>
    <row r="3" spans="1:5" x14ac:dyDescent="0.8">
      <c r="A3" s="249" t="s">
        <v>89</v>
      </c>
      <c r="B3" s="249"/>
      <c r="C3" s="167" t="s">
        <v>92</v>
      </c>
      <c r="D3" s="250">
        <v>49</v>
      </c>
      <c r="E3" s="250"/>
    </row>
    <row r="4" spans="1:5" x14ac:dyDescent="0.8">
      <c r="A4" s="249" t="s">
        <v>91</v>
      </c>
      <c r="B4" s="249"/>
      <c r="C4" s="167" t="s">
        <v>94</v>
      </c>
      <c r="D4" s="250" t="s">
        <v>95</v>
      </c>
      <c r="E4" s="250"/>
    </row>
    <row r="5" spans="1:5" x14ac:dyDescent="0.8">
      <c r="A5" s="249" t="s">
        <v>93</v>
      </c>
      <c r="B5" s="249"/>
      <c r="C5" s="167" t="s">
        <v>109</v>
      </c>
      <c r="D5" s="251">
        <f>GETPIVOTDATA("Sum of Total",$A$5)</f>
        <v>14450</v>
      </c>
      <c r="E5" s="251"/>
    </row>
    <row r="6" spans="1:5" x14ac:dyDescent="0.8">
      <c r="A6" s="169" t="s">
        <v>103</v>
      </c>
      <c r="B6" s="169" t="s">
        <v>105</v>
      </c>
      <c r="C6" s="169" t="s">
        <v>106</v>
      </c>
      <c r="D6" s="169" t="s">
        <v>107</v>
      </c>
      <c r="E6" s="169" t="s">
        <v>108</v>
      </c>
    </row>
    <row r="7" spans="1:5" x14ac:dyDescent="0.8">
      <c r="A7" s="212" t="s">
        <v>817</v>
      </c>
      <c r="B7" s="170">
        <v>125</v>
      </c>
      <c r="C7" s="170"/>
      <c r="D7" s="170"/>
      <c r="E7" s="170">
        <v>125</v>
      </c>
    </row>
    <row r="8" spans="1:5" x14ac:dyDescent="0.8">
      <c r="A8" s="212" t="s">
        <v>818</v>
      </c>
      <c r="B8" s="170">
        <v>125</v>
      </c>
      <c r="C8" s="170"/>
      <c r="D8" s="170"/>
      <c r="E8" s="170">
        <v>125</v>
      </c>
    </row>
    <row r="9" spans="1:5" x14ac:dyDescent="0.8">
      <c r="A9" s="212" t="s">
        <v>819</v>
      </c>
      <c r="B9" s="170">
        <v>125</v>
      </c>
      <c r="C9" s="170"/>
      <c r="D9" s="170"/>
      <c r="E9" s="170">
        <v>125</v>
      </c>
    </row>
    <row r="10" spans="1:5" x14ac:dyDescent="0.8">
      <c r="A10" s="212" t="s">
        <v>820</v>
      </c>
      <c r="B10" s="170">
        <v>40</v>
      </c>
      <c r="C10" s="170"/>
      <c r="D10" s="170"/>
      <c r="E10" s="170">
        <v>40</v>
      </c>
    </row>
    <row r="11" spans="1:5" x14ac:dyDescent="0.8">
      <c r="A11" s="212" t="s">
        <v>821</v>
      </c>
      <c r="B11" s="170">
        <v>125</v>
      </c>
      <c r="C11" s="170">
        <v>40</v>
      </c>
      <c r="D11" s="170">
        <v>35</v>
      </c>
      <c r="E11" s="170">
        <v>200</v>
      </c>
    </row>
    <row r="12" spans="1:5" x14ac:dyDescent="0.8">
      <c r="A12" s="212" t="s">
        <v>822</v>
      </c>
      <c r="B12" s="170">
        <v>125</v>
      </c>
      <c r="C12" s="170">
        <v>40</v>
      </c>
      <c r="D12" s="170"/>
      <c r="E12" s="170">
        <v>165</v>
      </c>
    </row>
    <row r="13" spans="1:5" x14ac:dyDescent="0.8">
      <c r="A13" s="212" t="s">
        <v>823</v>
      </c>
      <c r="B13" s="170">
        <v>125</v>
      </c>
      <c r="C13" s="170">
        <v>40</v>
      </c>
      <c r="D13" s="170"/>
      <c r="E13" s="170">
        <v>165</v>
      </c>
    </row>
    <row r="14" spans="1:5" x14ac:dyDescent="0.8">
      <c r="A14" s="212" t="s">
        <v>824</v>
      </c>
      <c r="B14" s="170">
        <v>125</v>
      </c>
      <c r="C14" s="170">
        <v>40</v>
      </c>
      <c r="D14" s="170"/>
      <c r="E14" s="170">
        <v>165</v>
      </c>
    </row>
    <row r="15" spans="1:5" x14ac:dyDescent="0.8">
      <c r="A15" s="212" t="s">
        <v>825</v>
      </c>
      <c r="B15" s="170">
        <v>125</v>
      </c>
      <c r="C15" s="170">
        <v>90</v>
      </c>
      <c r="D15" s="170">
        <v>40</v>
      </c>
      <c r="E15" s="170">
        <v>255</v>
      </c>
    </row>
    <row r="16" spans="1:5" x14ac:dyDescent="0.8">
      <c r="A16" s="212" t="s">
        <v>826</v>
      </c>
      <c r="B16" s="170">
        <v>125</v>
      </c>
      <c r="C16" s="170">
        <v>40</v>
      </c>
      <c r="D16" s="170">
        <v>90</v>
      </c>
      <c r="E16" s="170">
        <v>255</v>
      </c>
    </row>
    <row r="17" spans="1:5" x14ac:dyDescent="0.8">
      <c r="A17" s="212" t="s">
        <v>827</v>
      </c>
      <c r="B17" s="170">
        <v>40</v>
      </c>
      <c r="C17" s="170"/>
      <c r="D17" s="170"/>
      <c r="E17" s="170">
        <v>40</v>
      </c>
    </row>
    <row r="18" spans="1:5" x14ac:dyDescent="0.8">
      <c r="A18" s="212" t="s">
        <v>828</v>
      </c>
      <c r="B18" s="170">
        <v>85</v>
      </c>
      <c r="C18" s="170">
        <v>40</v>
      </c>
      <c r="D18" s="170"/>
      <c r="E18" s="170">
        <v>125</v>
      </c>
    </row>
    <row r="19" spans="1:5" x14ac:dyDescent="0.8">
      <c r="A19" s="212" t="s">
        <v>829</v>
      </c>
      <c r="B19" s="170">
        <v>85</v>
      </c>
      <c r="C19" s="170">
        <v>40</v>
      </c>
      <c r="D19" s="170"/>
      <c r="E19" s="170">
        <v>125</v>
      </c>
    </row>
    <row r="20" spans="1:5" x14ac:dyDescent="0.8">
      <c r="A20" s="212" t="s">
        <v>830</v>
      </c>
      <c r="B20" s="170">
        <v>125</v>
      </c>
      <c r="C20" s="170">
        <v>40</v>
      </c>
      <c r="D20" s="170"/>
      <c r="E20" s="170">
        <v>165</v>
      </c>
    </row>
    <row r="21" spans="1:5" x14ac:dyDescent="0.8">
      <c r="A21" s="212" t="s">
        <v>831</v>
      </c>
      <c r="B21" s="170">
        <v>85</v>
      </c>
      <c r="C21" s="170"/>
      <c r="D21" s="170"/>
      <c r="E21" s="170">
        <v>85</v>
      </c>
    </row>
    <row r="22" spans="1:5" x14ac:dyDescent="0.8">
      <c r="A22" s="212" t="s">
        <v>832</v>
      </c>
      <c r="B22" s="170">
        <v>85</v>
      </c>
      <c r="C22" s="170"/>
      <c r="D22" s="170"/>
      <c r="E22" s="170">
        <v>85</v>
      </c>
    </row>
    <row r="23" spans="1:5" x14ac:dyDescent="0.8">
      <c r="A23" s="212" t="s">
        <v>833</v>
      </c>
      <c r="B23" s="170">
        <v>125</v>
      </c>
      <c r="C23" s="170">
        <v>40</v>
      </c>
      <c r="D23" s="170"/>
      <c r="E23" s="170">
        <v>165</v>
      </c>
    </row>
    <row r="24" spans="1:5" x14ac:dyDescent="0.8">
      <c r="A24" s="212" t="s">
        <v>834</v>
      </c>
      <c r="B24" s="170">
        <v>105</v>
      </c>
      <c r="C24" s="170">
        <v>40</v>
      </c>
      <c r="D24" s="170"/>
      <c r="E24" s="170">
        <v>145</v>
      </c>
    </row>
    <row r="25" spans="1:5" x14ac:dyDescent="0.8">
      <c r="A25" s="212" t="s">
        <v>835</v>
      </c>
      <c r="B25" s="170">
        <v>40</v>
      </c>
      <c r="C25" s="170"/>
      <c r="D25" s="170"/>
      <c r="E25" s="170">
        <v>40</v>
      </c>
    </row>
    <row r="26" spans="1:5" x14ac:dyDescent="0.8">
      <c r="A26" s="212" t="s">
        <v>836</v>
      </c>
      <c r="B26" s="170">
        <v>125</v>
      </c>
      <c r="C26" s="170">
        <v>30</v>
      </c>
      <c r="D26" s="170"/>
      <c r="E26" s="170">
        <v>155</v>
      </c>
    </row>
    <row r="27" spans="1:5" x14ac:dyDescent="0.8">
      <c r="A27" s="212" t="s">
        <v>837</v>
      </c>
      <c r="B27" s="170">
        <v>55</v>
      </c>
      <c r="C27" s="170"/>
      <c r="D27" s="170"/>
      <c r="E27" s="170">
        <v>55</v>
      </c>
    </row>
    <row r="28" spans="1:5" x14ac:dyDescent="0.8">
      <c r="A28" s="212" t="s">
        <v>838</v>
      </c>
      <c r="B28" s="170">
        <v>125</v>
      </c>
      <c r="C28" s="170">
        <v>40</v>
      </c>
      <c r="D28" s="170"/>
      <c r="E28" s="170">
        <v>165</v>
      </c>
    </row>
    <row r="29" spans="1:5" x14ac:dyDescent="0.8">
      <c r="A29" s="212" t="s">
        <v>839</v>
      </c>
      <c r="B29" s="170">
        <v>125</v>
      </c>
      <c r="C29" s="170"/>
      <c r="D29" s="170"/>
      <c r="E29" s="170">
        <v>125</v>
      </c>
    </row>
    <row r="30" spans="1:5" x14ac:dyDescent="0.8">
      <c r="A30" s="212" t="s">
        <v>535</v>
      </c>
      <c r="B30" s="170">
        <v>85</v>
      </c>
      <c r="C30" s="170"/>
      <c r="D30" s="170"/>
      <c r="E30" s="170">
        <v>85</v>
      </c>
    </row>
    <row r="31" spans="1:5" x14ac:dyDescent="0.8">
      <c r="A31" s="212" t="s">
        <v>840</v>
      </c>
      <c r="B31" s="170">
        <v>155</v>
      </c>
      <c r="C31" s="170">
        <v>40</v>
      </c>
      <c r="D31" s="170"/>
      <c r="E31" s="170">
        <v>195</v>
      </c>
    </row>
    <row r="32" spans="1:5" x14ac:dyDescent="0.8">
      <c r="A32" s="212" t="s">
        <v>841</v>
      </c>
      <c r="B32" s="170">
        <v>155</v>
      </c>
      <c r="C32" s="170">
        <v>40</v>
      </c>
      <c r="D32" s="170"/>
      <c r="E32" s="170">
        <v>195</v>
      </c>
    </row>
    <row r="33" spans="1:5" x14ac:dyDescent="0.8">
      <c r="A33" s="212" t="s">
        <v>842</v>
      </c>
      <c r="B33" s="170">
        <v>155</v>
      </c>
      <c r="C33" s="170">
        <v>40</v>
      </c>
      <c r="D33" s="170"/>
      <c r="E33" s="170">
        <v>195</v>
      </c>
    </row>
    <row r="34" spans="1:5" x14ac:dyDescent="0.8">
      <c r="A34" s="212" t="s">
        <v>843</v>
      </c>
      <c r="B34" s="170">
        <v>125</v>
      </c>
      <c r="C34" s="170"/>
      <c r="D34" s="170"/>
      <c r="E34" s="170">
        <v>125</v>
      </c>
    </row>
    <row r="35" spans="1:5" x14ac:dyDescent="0.8">
      <c r="A35" s="212" t="s">
        <v>844</v>
      </c>
      <c r="B35" s="170">
        <v>125</v>
      </c>
      <c r="C35" s="170">
        <v>40</v>
      </c>
      <c r="D35" s="170"/>
      <c r="E35" s="170">
        <v>165</v>
      </c>
    </row>
    <row r="36" spans="1:5" x14ac:dyDescent="0.8">
      <c r="A36" s="212" t="s">
        <v>650</v>
      </c>
      <c r="B36" s="170">
        <v>40</v>
      </c>
      <c r="C36" s="170"/>
      <c r="D36" s="170"/>
      <c r="E36" s="170">
        <v>40</v>
      </c>
    </row>
    <row r="37" spans="1:5" x14ac:dyDescent="0.8">
      <c r="A37" s="212" t="s">
        <v>845</v>
      </c>
      <c r="B37" s="170">
        <v>40</v>
      </c>
      <c r="C37" s="170"/>
      <c r="D37" s="170"/>
      <c r="E37" s="170">
        <v>40</v>
      </c>
    </row>
    <row r="38" spans="1:5" x14ac:dyDescent="0.8">
      <c r="A38" s="212" t="s">
        <v>846</v>
      </c>
      <c r="B38" s="170">
        <v>85</v>
      </c>
      <c r="C38" s="170"/>
      <c r="D38" s="170"/>
      <c r="E38" s="170">
        <v>85</v>
      </c>
    </row>
    <row r="39" spans="1:5" x14ac:dyDescent="0.8">
      <c r="A39" s="212" t="s">
        <v>847</v>
      </c>
      <c r="B39" s="170">
        <v>105</v>
      </c>
      <c r="C39" s="170">
        <v>40</v>
      </c>
      <c r="D39" s="170"/>
      <c r="E39" s="170">
        <v>145</v>
      </c>
    </row>
    <row r="40" spans="1:5" x14ac:dyDescent="0.8">
      <c r="A40" s="212" t="s">
        <v>848</v>
      </c>
      <c r="B40" s="170">
        <v>125</v>
      </c>
      <c r="C40" s="170">
        <v>75</v>
      </c>
      <c r="D40" s="170">
        <v>45</v>
      </c>
      <c r="E40" s="170">
        <v>245</v>
      </c>
    </row>
    <row r="41" spans="1:5" x14ac:dyDescent="0.8">
      <c r="A41" s="212" t="s">
        <v>849</v>
      </c>
      <c r="B41" s="170">
        <v>165</v>
      </c>
      <c r="C41" s="170">
        <v>40</v>
      </c>
      <c r="D41" s="170">
        <v>30</v>
      </c>
      <c r="E41" s="170">
        <v>235</v>
      </c>
    </row>
    <row r="42" spans="1:5" x14ac:dyDescent="0.8">
      <c r="A42" s="212" t="s">
        <v>850</v>
      </c>
      <c r="B42" s="170">
        <v>125</v>
      </c>
      <c r="C42" s="170">
        <v>40</v>
      </c>
      <c r="D42" s="170"/>
      <c r="E42" s="170">
        <v>165</v>
      </c>
    </row>
    <row r="43" spans="1:5" x14ac:dyDescent="0.8">
      <c r="A43" s="212" t="s">
        <v>774</v>
      </c>
      <c r="B43" s="170">
        <v>125</v>
      </c>
      <c r="C43" s="170"/>
      <c r="D43" s="170"/>
      <c r="E43" s="170">
        <v>125</v>
      </c>
    </row>
    <row r="44" spans="1:5" x14ac:dyDescent="0.8">
      <c r="A44" s="212" t="s">
        <v>851</v>
      </c>
      <c r="B44" s="170">
        <v>125</v>
      </c>
      <c r="C44" s="170">
        <v>45</v>
      </c>
      <c r="D44" s="170"/>
      <c r="E44" s="170">
        <v>170</v>
      </c>
    </row>
    <row r="45" spans="1:5" x14ac:dyDescent="0.8">
      <c r="A45" s="212" t="s">
        <v>852</v>
      </c>
      <c r="B45" s="170">
        <v>40</v>
      </c>
      <c r="C45" s="170"/>
      <c r="D45" s="170"/>
      <c r="E45" s="170">
        <v>40</v>
      </c>
    </row>
    <row r="46" spans="1:5" x14ac:dyDescent="0.8">
      <c r="A46" s="212" t="s">
        <v>853</v>
      </c>
      <c r="B46" s="170">
        <v>40</v>
      </c>
      <c r="C46" s="170"/>
      <c r="D46" s="170"/>
      <c r="E46" s="170">
        <v>40</v>
      </c>
    </row>
    <row r="47" spans="1:5" x14ac:dyDescent="0.8">
      <c r="A47" s="212" t="s">
        <v>854</v>
      </c>
      <c r="B47" s="170">
        <v>40</v>
      </c>
      <c r="C47" s="170"/>
      <c r="D47" s="170"/>
      <c r="E47" s="170">
        <v>40</v>
      </c>
    </row>
    <row r="48" spans="1:5" x14ac:dyDescent="0.8">
      <c r="A48" s="212" t="s">
        <v>855</v>
      </c>
      <c r="B48" s="170">
        <v>125</v>
      </c>
      <c r="C48" s="170">
        <v>90</v>
      </c>
      <c r="D48" s="170">
        <v>45</v>
      </c>
      <c r="E48" s="170">
        <v>260</v>
      </c>
    </row>
    <row r="49" spans="1:5" x14ac:dyDescent="0.8">
      <c r="A49" s="212" t="s">
        <v>856</v>
      </c>
      <c r="B49" s="170">
        <v>105</v>
      </c>
      <c r="C49" s="170">
        <v>40</v>
      </c>
      <c r="D49" s="170"/>
      <c r="E49" s="170">
        <v>145</v>
      </c>
    </row>
    <row r="50" spans="1:5" x14ac:dyDescent="0.8">
      <c r="A50" s="212" t="s">
        <v>857</v>
      </c>
      <c r="B50" s="170">
        <v>125</v>
      </c>
      <c r="C50" s="170">
        <v>40</v>
      </c>
      <c r="D50" s="170">
        <v>90</v>
      </c>
      <c r="E50" s="170">
        <v>255</v>
      </c>
    </row>
    <row r="51" spans="1:5" x14ac:dyDescent="0.8">
      <c r="A51" s="212" t="s">
        <v>858</v>
      </c>
      <c r="B51" s="170">
        <v>125</v>
      </c>
      <c r="C51" s="170">
        <v>40</v>
      </c>
      <c r="D51" s="170">
        <v>45</v>
      </c>
      <c r="E51" s="170">
        <v>210</v>
      </c>
    </row>
    <row r="52" spans="1:5" x14ac:dyDescent="0.8">
      <c r="A52" s="212" t="s">
        <v>859</v>
      </c>
      <c r="B52" s="170">
        <v>125</v>
      </c>
      <c r="C52" s="170">
        <v>40</v>
      </c>
      <c r="D52" s="170">
        <v>45</v>
      </c>
      <c r="E52" s="170">
        <v>210</v>
      </c>
    </row>
    <row r="53" spans="1:5" x14ac:dyDescent="0.8">
      <c r="A53" s="212" t="s">
        <v>860</v>
      </c>
      <c r="B53" s="170">
        <v>125</v>
      </c>
      <c r="C53" s="170">
        <v>30</v>
      </c>
      <c r="D53" s="170">
        <v>40</v>
      </c>
      <c r="E53" s="170">
        <v>195</v>
      </c>
    </row>
    <row r="54" spans="1:5" x14ac:dyDescent="0.8">
      <c r="A54" s="212" t="s">
        <v>861</v>
      </c>
      <c r="B54" s="170">
        <v>125</v>
      </c>
      <c r="C54" s="170">
        <v>40</v>
      </c>
      <c r="D54" s="170"/>
      <c r="E54" s="170">
        <v>165</v>
      </c>
    </row>
    <row r="55" spans="1:5" x14ac:dyDescent="0.8">
      <c r="A55" s="212" t="s">
        <v>862</v>
      </c>
      <c r="B55" s="170">
        <v>125</v>
      </c>
      <c r="C55" s="170">
        <v>40</v>
      </c>
      <c r="D55" s="170"/>
      <c r="E55" s="170">
        <v>165</v>
      </c>
    </row>
    <row r="56" spans="1:5" x14ac:dyDescent="0.8">
      <c r="A56" s="212" t="s">
        <v>863</v>
      </c>
      <c r="B56" s="170">
        <v>125</v>
      </c>
      <c r="C56" s="170">
        <v>40</v>
      </c>
      <c r="D56" s="170"/>
      <c r="E56" s="170">
        <v>165</v>
      </c>
    </row>
    <row r="57" spans="1:5" x14ac:dyDescent="0.8">
      <c r="A57" s="212" t="s">
        <v>864</v>
      </c>
      <c r="B57" s="170">
        <v>85</v>
      </c>
      <c r="C57" s="170">
        <v>40</v>
      </c>
      <c r="D57" s="170"/>
      <c r="E57" s="170">
        <v>125</v>
      </c>
    </row>
    <row r="58" spans="1:5" x14ac:dyDescent="0.8">
      <c r="A58" s="212" t="s">
        <v>865</v>
      </c>
      <c r="B58" s="170">
        <v>125</v>
      </c>
      <c r="C58" s="170">
        <v>40</v>
      </c>
      <c r="D58" s="170">
        <v>90</v>
      </c>
      <c r="E58" s="170">
        <v>255</v>
      </c>
    </row>
    <row r="59" spans="1:5" x14ac:dyDescent="0.8">
      <c r="A59" s="212" t="s">
        <v>866</v>
      </c>
      <c r="B59" s="170">
        <v>105</v>
      </c>
      <c r="C59" s="170"/>
      <c r="D59" s="170"/>
      <c r="E59" s="170">
        <v>105</v>
      </c>
    </row>
    <row r="60" spans="1:5" x14ac:dyDescent="0.8">
      <c r="A60" s="212" t="s">
        <v>867</v>
      </c>
      <c r="B60" s="170">
        <v>85</v>
      </c>
      <c r="C60" s="170"/>
      <c r="D60" s="170"/>
      <c r="E60" s="170">
        <v>85</v>
      </c>
    </row>
    <row r="61" spans="1:5" x14ac:dyDescent="0.8">
      <c r="A61" s="212" t="s">
        <v>868</v>
      </c>
      <c r="B61" s="170">
        <v>85</v>
      </c>
      <c r="C61" s="170"/>
      <c r="D61" s="170"/>
      <c r="E61" s="170">
        <v>85</v>
      </c>
    </row>
    <row r="62" spans="1:5" x14ac:dyDescent="0.8">
      <c r="A62" s="212" t="s">
        <v>869</v>
      </c>
      <c r="B62" s="170">
        <v>125</v>
      </c>
      <c r="C62" s="170">
        <v>40</v>
      </c>
      <c r="D62" s="170"/>
      <c r="E62" s="170">
        <v>165</v>
      </c>
    </row>
    <row r="63" spans="1:5" x14ac:dyDescent="0.8">
      <c r="A63" s="212" t="s">
        <v>870</v>
      </c>
      <c r="B63" s="170">
        <v>125</v>
      </c>
      <c r="C63" s="170">
        <v>40</v>
      </c>
      <c r="D63" s="170">
        <v>45</v>
      </c>
      <c r="E63" s="170">
        <v>210</v>
      </c>
    </row>
    <row r="64" spans="1:5" x14ac:dyDescent="0.8">
      <c r="A64" s="212" t="s">
        <v>871</v>
      </c>
      <c r="B64" s="170">
        <v>125</v>
      </c>
      <c r="C64" s="170">
        <v>40</v>
      </c>
      <c r="D64" s="170"/>
      <c r="E64" s="170">
        <v>165</v>
      </c>
    </row>
    <row r="65" spans="1:5" x14ac:dyDescent="0.8">
      <c r="A65" s="212" t="s">
        <v>872</v>
      </c>
      <c r="B65" s="170">
        <v>85</v>
      </c>
      <c r="C65" s="170">
        <v>40</v>
      </c>
      <c r="D65" s="170"/>
      <c r="E65" s="170">
        <v>125</v>
      </c>
    </row>
    <row r="66" spans="1:5" x14ac:dyDescent="0.8">
      <c r="A66" s="212" t="s">
        <v>873</v>
      </c>
      <c r="B66" s="170">
        <v>125</v>
      </c>
      <c r="C66" s="170">
        <v>45</v>
      </c>
      <c r="D66" s="170"/>
      <c r="E66" s="170">
        <v>170</v>
      </c>
    </row>
    <row r="67" spans="1:5" x14ac:dyDescent="0.8">
      <c r="A67" s="212" t="s">
        <v>874</v>
      </c>
      <c r="B67" s="170">
        <v>125</v>
      </c>
      <c r="C67" s="170">
        <v>40</v>
      </c>
      <c r="D67" s="170"/>
      <c r="E67" s="170">
        <v>165</v>
      </c>
    </row>
    <row r="68" spans="1:5" x14ac:dyDescent="0.8">
      <c r="A68" s="212" t="s">
        <v>875</v>
      </c>
      <c r="B68" s="170">
        <v>125</v>
      </c>
      <c r="C68" s="170">
        <v>40</v>
      </c>
      <c r="D68" s="170"/>
      <c r="E68" s="170">
        <v>165</v>
      </c>
    </row>
    <row r="69" spans="1:5" x14ac:dyDescent="0.8">
      <c r="A69" s="212" t="s">
        <v>876</v>
      </c>
      <c r="B69" s="170">
        <v>125</v>
      </c>
      <c r="C69" s="170">
        <v>40</v>
      </c>
      <c r="D69" s="170"/>
      <c r="E69" s="170">
        <v>165</v>
      </c>
    </row>
    <row r="70" spans="1:5" x14ac:dyDescent="0.8">
      <c r="A70" s="212" t="s">
        <v>877</v>
      </c>
      <c r="B70" s="170">
        <v>85</v>
      </c>
      <c r="C70" s="170">
        <v>40</v>
      </c>
      <c r="D70" s="170"/>
      <c r="E70" s="170">
        <v>125</v>
      </c>
    </row>
    <row r="71" spans="1:5" x14ac:dyDescent="0.8">
      <c r="A71" s="212" t="s">
        <v>878</v>
      </c>
      <c r="B71" s="170">
        <v>125</v>
      </c>
      <c r="C71" s="170">
        <v>40</v>
      </c>
      <c r="D71" s="170"/>
      <c r="E71" s="170">
        <v>165</v>
      </c>
    </row>
    <row r="72" spans="1:5" x14ac:dyDescent="0.8">
      <c r="A72" s="212" t="s">
        <v>879</v>
      </c>
      <c r="B72" s="170">
        <v>85</v>
      </c>
      <c r="C72" s="170">
        <v>85</v>
      </c>
      <c r="D72" s="170"/>
      <c r="E72" s="170">
        <v>170</v>
      </c>
    </row>
    <row r="73" spans="1:5" x14ac:dyDescent="0.8">
      <c r="A73" s="212" t="s">
        <v>880</v>
      </c>
      <c r="B73" s="170">
        <v>40</v>
      </c>
      <c r="C73" s="170"/>
      <c r="D73" s="170"/>
      <c r="E73" s="170">
        <v>40</v>
      </c>
    </row>
    <row r="74" spans="1:5" x14ac:dyDescent="0.8">
      <c r="A74" s="212" t="s">
        <v>881</v>
      </c>
      <c r="B74" s="170">
        <v>125</v>
      </c>
      <c r="C74" s="170">
        <v>40</v>
      </c>
      <c r="D74" s="170"/>
      <c r="E74" s="170">
        <v>165</v>
      </c>
    </row>
    <row r="75" spans="1:5" x14ac:dyDescent="0.8">
      <c r="A75" s="212" t="s">
        <v>882</v>
      </c>
      <c r="B75" s="170">
        <v>40</v>
      </c>
      <c r="C75" s="170"/>
      <c r="D75" s="170"/>
      <c r="E75" s="170">
        <v>40</v>
      </c>
    </row>
    <row r="76" spans="1:5" x14ac:dyDescent="0.8">
      <c r="A76" s="212" t="s">
        <v>883</v>
      </c>
      <c r="B76" s="170">
        <v>125</v>
      </c>
      <c r="C76" s="170">
        <v>40</v>
      </c>
      <c r="D76" s="170"/>
      <c r="E76" s="170">
        <v>165</v>
      </c>
    </row>
    <row r="77" spans="1:5" x14ac:dyDescent="0.8">
      <c r="A77" s="212" t="s">
        <v>884</v>
      </c>
      <c r="B77" s="170">
        <v>185</v>
      </c>
      <c r="C77" s="170">
        <v>40</v>
      </c>
      <c r="D77" s="170"/>
      <c r="E77" s="170">
        <v>225</v>
      </c>
    </row>
    <row r="78" spans="1:5" x14ac:dyDescent="0.8">
      <c r="A78" s="212" t="s">
        <v>885</v>
      </c>
      <c r="B78" s="170">
        <v>125</v>
      </c>
      <c r="C78" s="170">
        <v>40</v>
      </c>
      <c r="D78" s="170"/>
      <c r="E78" s="170">
        <v>165</v>
      </c>
    </row>
    <row r="79" spans="1:5" x14ac:dyDescent="0.8">
      <c r="A79" s="212" t="s">
        <v>886</v>
      </c>
      <c r="B79" s="170">
        <v>40</v>
      </c>
      <c r="C79" s="170"/>
      <c r="D79" s="170"/>
      <c r="E79" s="170">
        <v>40</v>
      </c>
    </row>
    <row r="80" spans="1:5" x14ac:dyDescent="0.8">
      <c r="A80" s="212" t="s">
        <v>887</v>
      </c>
      <c r="B80" s="170">
        <v>125</v>
      </c>
      <c r="C80" s="170"/>
      <c r="D80" s="170"/>
      <c r="E80" s="170">
        <v>125</v>
      </c>
    </row>
    <row r="81" spans="1:5" x14ac:dyDescent="0.8">
      <c r="A81" s="212" t="s">
        <v>888</v>
      </c>
      <c r="B81" s="170">
        <v>85</v>
      </c>
      <c r="C81" s="170"/>
      <c r="D81" s="170"/>
      <c r="E81" s="170">
        <v>85</v>
      </c>
    </row>
    <row r="82" spans="1:5" x14ac:dyDescent="0.8">
      <c r="A82" s="212" t="s">
        <v>889</v>
      </c>
      <c r="B82" s="170">
        <v>125</v>
      </c>
      <c r="C82" s="170">
        <v>40</v>
      </c>
      <c r="D82" s="170"/>
      <c r="E82" s="170">
        <v>165</v>
      </c>
    </row>
    <row r="83" spans="1:5" x14ac:dyDescent="0.8">
      <c r="A83" s="212" t="s">
        <v>890</v>
      </c>
      <c r="B83" s="170">
        <v>105</v>
      </c>
      <c r="C83" s="170">
        <v>40</v>
      </c>
      <c r="D83" s="170"/>
      <c r="E83" s="170">
        <v>145</v>
      </c>
    </row>
    <row r="84" spans="1:5" x14ac:dyDescent="0.8">
      <c r="A84" s="212" t="s">
        <v>891</v>
      </c>
      <c r="B84" s="170">
        <v>85</v>
      </c>
      <c r="C84" s="170"/>
      <c r="D84" s="170"/>
      <c r="E84" s="170">
        <v>85</v>
      </c>
    </row>
    <row r="85" spans="1:5" x14ac:dyDescent="0.8">
      <c r="A85" s="212" t="s">
        <v>892</v>
      </c>
      <c r="B85" s="170">
        <v>40</v>
      </c>
      <c r="C85" s="170"/>
      <c r="D85" s="170"/>
      <c r="E85" s="170">
        <v>40</v>
      </c>
    </row>
    <row r="86" spans="1:5" x14ac:dyDescent="0.8">
      <c r="A86" s="212" t="s">
        <v>893</v>
      </c>
      <c r="B86" s="170">
        <v>125</v>
      </c>
      <c r="C86" s="170">
        <v>40</v>
      </c>
      <c r="D86" s="170"/>
      <c r="E86" s="170">
        <v>165</v>
      </c>
    </row>
    <row r="87" spans="1:5" x14ac:dyDescent="0.8">
      <c r="A87" s="212" t="s">
        <v>894</v>
      </c>
      <c r="B87" s="170">
        <v>125</v>
      </c>
      <c r="C87" s="170">
        <v>90</v>
      </c>
      <c r="D87" s="170">
        <v>40</v>
      </c>
      <c r="E87" s="170">
        <v>255</v>
      </c>
    </row>
    <row r="88" spans="1:5" x14ac:dyDescent="0.8">
      <c r="A88" s="212" t="s">
        <v>895</v>
      </c>
      <c r="B88" s="170">
        <v>40</v>
      </c>
      <c r="C88" s="170"/>
      <c r="D88" s="170"/>
      <c r="E88" s="170">
        <v>40</v>
      </c>
    </row>
    <row r="89" spans="1:5" x14ac:dyDescent="0.8">
      <c r="A89" s="212" t="s">
        <v>896</v>
      </c>
      <c r="B89" s="170">
        <v>105</v>
      </c>
      <c r="C89" s="170">
        <v>40</v>
      </c>
      <c r="D89" s="170"/>
      <c r="E89" s="170">
        <v>145</v>
      </c>
    </row>
    <row r="90" spans="1:5" x14ac:dyDescent="0.8">
      <c r="A90" s="212" t="s">
        <v>897</v>
      </c>
      <c r="B90" s="170">
        <v>125</v>
      </c>
      <c r="C90" s="170">
        <v>45</v>
      </c>
      <c r="D90" s="170"/>
      <c r="E90" s="170">
        <v>170</v>
      </c>
    </row>
    <row r="91" spans="1:5" x14ac:dyDescent="0.8">
      <c r="A91" s="212" t="s">
        <v>898</v>
      </c>
      <c r="B91" s="170">
        <v>125</v>
      </c>
      <c r="C91" s="170"/>
      <c r="D91" s="170"/>
      <c r="E91" s="170">
        <v>125</v>
      </c>
    </row>
    <row r="92" spans="1:5" x14ac:dyDescent="0.8">
      <c r="A92" s="212" t="s">
        <v>899</v>
      </c>
      <c r="B92" s="170">
        <v>85</v>
      </c>
      <c r="C92" s="170"/>
      <c r="D92" s="170"/>
      <c r="E92" s="170">
        <v>85</v>
      </c>
    </row>
    <row r="93" spans="1:5" x14ac:dyDescent="0.8">
      <c r="A93" s="212" t="s">
        <v>900</v>
      </c>
      <c r="B93" s="170">
        <v>155</v>
      </c>
      <c r="C93" s="170">
        <v>40</v>
      </c>
      <c r="D93" s="170">
        <v>30</v>
      </c>
      <c r="E93" s="170">
        <v>225</v>
      </c>
    </row>
    <row r="94" spans="1:5" x14ac:dyDescent="0.8">
      <c r="A94" s="212" t="s">
        <v>901</v>
      </c>
      <c r="B94" s="170">
        <v>125</v>
      </c>
      <c r="C94" s="170">
        <v>40</v>
      </c>
      <c r="D94" s="170"/>
      <c r="E94" s="170">
        <v>165</v>
      </c>
    </row>
    <row r="95" spans="1:5" x14ac:dyDescent="0.8">
      <c r="A95" s="212" t="s">
        <v>902</v>
      </c>
      <c r="B95" s="170">
        <v>125</v>
      </c>
      <c r="C95" s="170">
        <v>40</v>
      </c>
      <c r="D95" s="170"/>
      <c r="E95" s="170">
        <v>165</v>
      </c>
    </row>
    <row r="96" spans="1:5" x14ac:dyDescent="0.8">
      <c r="A96" s="212" t="s">
        <v>903</v>
      </c>
      <c r="B96" s="170">
        <v>185</v>
      </c>
      <c r="C96" s="170">
        <v>40</v>
      </c>
      <c r="D96" s="170"/>
      <c r="E96" s="170">
        <v>225</v>
      </c>
    </row>
    <row r="97" spans="1:5" x14ac:dyDescent="0.8">
      <c r="A97" s="212" t="s">
        <v>904</v>
      </c>
      <c r="B97" s="170">
        <v>105</v>
      </c>
      <c r="C97" s="170">
        <v>40</v>
      </c>
      <c r="D97" s="170"/>
      <c r="E97" s="170">
        <v>145</v>
      </c>
    </row>
    <row r="98" spans="1:5" x14ac:dyDescent="0.8">
      <c r="A98" s="212" t="s">
        <v>905</v>
      </c>
      <c r="B98" s="170">
        <v>125</v>
      </c>
      <c r="C98" s="170">
        <v>90</v>
      </c>
      <c r="D98" s="170">
        <v>40</v>
      </c>
      <c r="E98" s="170">
        <v>255</v>
      </c>
    </row>
    <row r="99" spans="1:5" x14ac:dyDescent="0.8">
      <c r="A99" s="212" t="s">
        <v>906</v>
      </c>
      <c r="B99" s="170">
        <v>155</v>
      </c>
      <c r="C99" s="170">
        <v>40</v>
      </c>
      <c r="D99" s="170"/>
      <c r="E99" s="170">
        <v>195</v>
      </c>
    </row>
    <row r="100" spans="1:5" x14ac:dyDescent="0.8">
      <c r="A100" s="212" t="s">
        <v>907</v>
      </c>
      <c r="B100" s="170">
        <v>85</v>
      </c>
      <c r="C100" s="170"/>
      <c r="D100" s="170"/>
      <c r="E100" s="170">
        <v>85</v>
      </c>
    </row>
    <row r="101" spans="1:5" x14ac:dyDescent="0.8">
      <c r="A101" s="212" t="s">
        <v>908</v>
      </c>
      <c r="B101" s="170">
        <v>125</v>
      </c>
      <c r="C101" s="170">
        <v>40</v>
      </c>
      <c r="D101" s="170"/>
      <c r="E101" s="170">
        <v>165</v>
      </c>
    </row>
    <row r="102" spans="1:5" x14ac:dyDescent="0.8">
      <c r="A102" s="212" t="s">
        <v>909</v>
      </c>
      <c r="B102" s="170">
        <v>85</v>
      </c>
      <c r="C102" s="170">
        <v>40</v>
      </c>
      <c r="D102" s="170"/>
      <c r="E102" s="170">
        <v>125</v>
      </c>
    </row>
    <row r="103" spans="1:5" x14ac:dyDescent="0.8">
      <c r="A103" s="212" t="s">
        <v>910</v>
      </c>
      <c r="B103" s="170">
        <v>85</v>
      </c>
      <c r="C103" s="170"/>
      <c r="D103" s="170"/>
      <c r="E103" s="170">
        <v>85</v>
      </c>
    </row>
    <row r="104" spans="1:5" x14ac:dyDescent="0.8">
      <c r="A104" s="212" t="s">
        <v>911</v>
      </c>
      <c r="B104" s="170">
        <v>40</v>
      </c>
      <c r="C104" s="170"/>
      <c r="D104" s="170"/>
      <c r="E104" s="170">
        <v>40</v>
      </c>
    </row>
    <row r="105" spans="1:5" x14ac:dyDescent="0.8">
      <c r="A105" s="212" t="s">
        <v>912</v>
      </c>
      <c r="B105" s="170">
        <v>125</v>
      </c>
      <c r="C105" s="170"/>
      <c r="D105" s="170"/>
      <c r="E105" s="170">
        <v>125</v>
      </c>
    </row>
    <row r="106" spans="1:5" x14ac:dyDescent="0.8">
      <c r="A106" s="212" t="s">
        <v>913</v>
      </c>
      <c r="B106" s="170">
        <v>105</v>
      </c>
      <c r="C106" s="170">
        <v>40</v>
      </c>
      <c r="D106" s="170"/>
      <c r="E106" s="170">
        <v>145</v>
      </c>
    </row>
    <row r="107" spans="1:5" x14ac:dyDescent="0.8">
      <c r="A107" s="212" t="s">
        <v>914</v>
      </c>
      <c r="B107" s="170">
        <v>125</v>
      </c>
      <c r="C107" s="170">
        <v>40</v>
      </c>
      <c r="D107" s="170">
        <v>30</v>
      </c>
      <c r="E107" s="170">
        <v>195</v>
      </c>
    </row>
    <row r="108" spans="1:5" x14ac:dyDescent="0.8">
      <c r="A108" s="212" t="s">
        <v>104</v>
      </c>
      <c r="B108" s="170">
        <v>10795</v>
      </c>
      <c r="C108" s="170">
        <v>2875</v>
      </c>
      <c r="D108" s="170">
        <v>780</v>
      </c>
      <c r="E108" s="170">
        <v>14450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7" priority="3"/>
    <cfRule type="duplicateValues" dxfId="6" priority="4"/>
  </conditionalFormatting>
  <conditionalFormatting sqref="A1:A5">
    <cfRule type="duplicateValues" dxfId="5" priority="2"/>
  </conditionalFormatting>
  <conditionalFormatting sqref="A1:A5">
    <cfRule type="duplicateValues" dxfId="4" priority="1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8825-5D0B-4C51-963D-2682030E1987}">
  <sheetPr>
    <tabColor rgb="FFFF0000"/>
  </sheetPr>
  <dimension ref="A1:E89"/>
  <sheetViews>
    <sheetView workbookViewId="0">
      <selection activeCell="H10" sqref="H10"/>
    </sheetView>
  </sheetViews>
  <sheetFormatPr defaultRowHeight="14.75" x14ac:dyDescent="0.75"/>
  <cols>
    <col min="1" max="1" width="15.75" style="254" bestFit="1" customWidth="1"/>
    <col min="2" max="2" width="19.70703125" style="254" bestFit="1" customWidth="1"/>
    <col min="3" max="4" width="17.0390625" style="254" bestFit="1" customWidth="1"/>
    <col min="5" max="5" width="10.33203125" style="254" bestFit="1" customWidth="1"/>
    <col min="6" max="16384" width="8.6640625" style="254"/>
  </cols>
  <sheetData>
    <row r="1" spans="1:5" x14ac:dyDescent="0.75">
      <c r="A1" s="249" t="s">
        <v>86</v>
      </c>
      <c r="B1" s="249"/>
      <c r="C1" s="167" t="s">
        <v>88</v>
      </c>
      <c r="D1" s="252">
        <v>44815</v>
      </c>
      <c r="E1" s="252"/>
    </row>
    <row r="2" spans="1:5" x14ac:dyDescent="0.75">
      <c r="A2" s="249" t="s">
        <v>87</v>
      </c>
      <c r="B2" s="249"/>
      <c r="C2" s="167" t="s">
        <v>90</v>
      </c>
      <c r="D2" s="252">
        <v>44814</v>
      </c>
      <c r="E2" s="252"/>
    </row>
    <row r="3" spans="1:5" x14ac:dyDescent="0.75">
      <c r="A3" s="249" t="s">
        <v>89</v>
      </c>
      <c r="B3" s="249"/>
      <c r="C3" s="167" t="s">
        <v>92</v>
      </c>
      <c r="D3" s="250">
        <v>50</v>
      </c>
      <c r="E3" s="250"/>
    </row>
    <row r="4" spans="1:5" x14ac:dyDescent="0.75">
      <c r="A4" s="249" t="s">
        <v>91</v>
      </c>
      <c r="B4" s="249"/>
      <c r="C4" s="167" t="s">
        <v>94</v>
      </c>
      <c r="D4" s="250" t="s">
        <v>95</v>
      </c>
      <c r="E4" s="250"/>
    </row>
    <row r="5" spans="1:5" x14ac:dyDescent="0.75">
      <c r="A5" s="249" t="s">
        <v>93</v>
      </c>
      <c r="B5" s="249"/>
      <c r="C5" s="167" t="s">
        <v>109</v>
      </c>
      <c r="D5" s="251">
        <f>GETPIVOTDATA("Sum of Total",$A$5)</f>
        <v>11415</v>
      </c>
      <c r="E5" s="251"/>
    </row>
    <row r="6" spans="1:5" x14ac:dyDescent="0.75">
      <c r="A6" s="253" t="s">
        <v>103</v>
      </c>
      <c r="B6" s="253" t="s">
        <v>105</v>
      </c>
      <c r="C6" s="253" t="s">
        <v>106</v>
      </c>
      <c r="D6" s="253" t="s">
        <v>107</v>
      </c>
      <c r="E6" s="253" t="s">
        <v>108</v>
      </c>
    </row>
    <row r="7" spans="1:5" x14ac:dyDescent="0.75">
      <c r="A7" s="255" t="s">
        <v>925</v>
      </c>
      <c r="B7" s="256">
        <v>40</v>
      </c>
      <c r="C7" s="256"/>
      <c r="D7" s="256"/>
      <c r="E7" s="256">
        <v>40</v>
      </c>
    </row>
    <row r="8" spans="1:5" x14ac:dyDescent="0.75">
      <c r="A8" s="255" t="s">
        <v>926</v>
      </c>
      <c r="B8" s="256">
        <v>40</v>
      </c>
      <c r="C8" s="256"/>
      <c r="D8" s="256"/>
      <c r="E8" s="256">
        <v>40</v>
      </c>
    </row>
    <row r="9" spans="1:5" x14ac:dyDescent="0.75">
      <c r="A9" s="255" t="s">
        <v>927</v>
      </c>
      <c r="B9" s="256">
        <v>125</v>
      </c>
      <c r="C9" s="256">
        <v>40</v>
      </c>
      <c r="D9" s="256"/>
      <c r="E9" s="256">
        <v>165</v>
      </c>
    </row>
    <row r="10" spans="1:5" x14ac:dyDescent="0.75">
      <c r="A10" s="255" t="s">
        <v>928</v>
      </c>
      <c r="B10" s="256">
        <v>125</v>
      </c>
      <c r="C10" s="256">
        <v>40</v>
      </c>
      <c r="D10" s="256"/>
      <c r="E10" s="256">
        <v>165</v>
      </c>
    </row>
    <row r="11" spans="1:5" x14ac:dyDescent="0.75">
      <c r="A11" s="255" t="s">
        <v>929</v>
      </c>
      <c r="B11" s="256">
        <v>85</v>
      </c>
      <c r="C11" s="256"/>
      <c r="D11" s="256"/>
      <c r="E11" s="256">
        <v>85</v>
      </c>
    </row>
    <row r="12" spans="1:5" x14ac:dyDescent="0.75">
      <c r="A12" s="255" t="s">
        <v>930</v>
      </c>
      <c r="B12" s="256">
        <v>85</v>
      </c>
      <c r="C12" s="256"/>
      <c r="D12" s="256"/>
      <c r="E12" s="256">
        <v>85</v>
      </c>
    </row>
    <row r="13" spans="1:5" x14ac:dyDescent="0.75">
      <c r="A13" s="255" t="s">
        <v>931</v>
      </c>
      <c r="B13" s="256">
        <v>85</v>
      </c>
      <c r="C13" s="256">
        <v>40</v>
      </c>
      <c r="D13" s="256"/>
      <c r="E13" s="256">
        <v>125</v>
      </c>
    </row>
    <row r="14" spans="1:5" x14ac:dyDescent="0.75">
      <c r="A14" s="255" t="s">
        <v>932</v>
      </c>
      <c r="B14" s="256">
        <v>125</v>
      </c>
      <c r="C14" s="256"/>
      <c r="D14" s="256"/>
      <c r="E14" s="256">
        <v>125</v>
      </c>
    </row>
    <row r="15" spans="1:5" x14ac:dyDescent="0.75">
      <c r="A15" s="255" t="s">
        <v>933</v>
      </c>
      <c r="B15" s="256">
        <v>125</v>
      </c>
      <c r="C15" s="256"/>
      <c r="D15" s="256"/>
      <c r="E15" s="256">
        <v>125</v>
      </c>
    </row>
    <row r="16" spans="1:5" x14ac:dyDescent="0.75">
      <c r="A16" s="255" t="s">
        <v>453</v>
      </c>
      <c r="B16" s="256">
        <v>125</v>
      </c>
      <c r="C16" s="256"/>
      <c r="D16" s="256"/>
      <c r="E16" s="256">
        <v>125</v>
      </c>
    </row>
    <row r="17" spans="1:5" x14ac:dyDescent="0.75">
      <c r="A17" s="255" t="s">
        <v>934</v>
      </c>
      <c r="B17" s="256">
        <v>105</v>
      </c>
      <c r="C17" s="256">
        <v>40</v>
      </c>
      <c r="D17" s="256"/>
      <c r="E17" s="256">
        <v>145</v>
      </c>
    </row>
    <row r="18" spans="1:5" x14ac:dyDescent="0.75">
      <c r="A18" s="255" t="s">
        <v>935</v>
      </c>
      <c r="B18" s="256">
        <v>125</v>
      </c>
      <c r="C18" s="256">
        <v>40</v>
      </c>
      <c r="D18" s="256"/>
      <c r="E18" s="256">
        <v>165</v>
      </c>
    </row>
    <row r="19" spans="1:5" x14ac:dyDescent="0.75">
      <c r="A19" s="255" t="s">
        <v>753</v>
      </c>
      <c r="B19" s="256">
        <v>125</v>
      </c>
      <c r="C19" s="256">
        <v>45</v>
      </c>
      <c r="D19" s="256"/>
      <c r="E19" s="256">
        <v>170</v>
      </c>
    </row>
    <row r="20" spans="1:5" x14ac:dyDescent="0.75">
      <c r="A20" s="255" t="s">
        <v>936</v>
      </c>
      <c r="B20" s="256">
        <v>85</v>
      </c>
      <c r="C20" s="256"/>
      <c r="D20" s="256"/>
      <c r="E20" s="256">
        <v>85</v>
      </c>
    </row>
    <row r="21" spans="1:5" x14ac:dyDescent="0.75">
      <c r="A21" s="255" t="s">
        <v>937</v>
      </c>
      <c r="B21" s="256">
        <v>85</v>
      </c>
      <c r="C21" s="256"/>
      <c r="D21" s="256"/>
      <c r="E21" s="256">
        <v>85</v>
      </c>
    </row>
    <row r="22" spans="1:5" x14ac:dyDescent="0.75">
      <c r="A22" s="255" t="s">
        <v>938</v>
      </c>
      <c r="B22" s="256">
        <v>105</v>
      </c>
      <c r="C22" s="256">
        <v>40</v>
      </c>
      <c r="D22" s="256"/>
      <c r="E22" s="256">
        <v>145</v>
      </c>
    </row>
    <row r="23" spans="1:5" x14ac:dyDescent="0.75">
      <c r="A23" s="255" t="s">
        <v>939</v>
      </c>
      <c r="B23" s="256">
        <v>185</v>
      </c>
      <c r="C23" s="256"/>
      <c r="D23" s="256"/>
      <c r="E23" s="256">
        <v>185</v>
      </c>
    </row>
    <row r="24" spans="1:5" x14ac:dyDescent="0.75">
      <c r="A24" s="255" t="s">
        <v>940</v>
      </c>
      <c r="B24" s="256">
        <v>85</v>
      </c>
      <c r="C24" s="256"/>
      <c r="D24" s="256"/>
      <c r="E24" s="256">
        <v>85</v>
      </c>
    </row>
    <row r="25" spans="1:5" x14ac:dyDescent="0.75">
      <c r="A25" s="255" t="s">
        <v>941</v>
      </c>
      <c r="B25" s="256">
        <v>105</v>
      </c>
      <c r="C25" s="256">
        <v>40</v>
      </c>
      <c r="D25" s="256"/>
      <c r="E25" s="256">
        <v>145</v>
      </c>
    </row>
    <row r="26" spans="1:5" x14ac:dyDescent="0.75">
      <c r="A26" s="255" t="s">
        <v>942</v>
      </c>
      <c r="B26" s="256">
        <v>230</v>
      </c>
      <c r="C26" s="256">
        <v>85</v>
      </c>
      <c r="D26" s="256"/>
      <c r="E26" s="256">
        <v>315</v>
      </c>
    </row>
    <row r="27" spans="1:5" x14ac:dyDescent="0.75">
      <c r="A27" s="255" t="s">
        <v>943</v>
      </c>
      <c r="B27" s="256">
        <v>145</v>
      </c>
      <c r="C27" s="256">
        <v>40</v>
      </c>
      <c r="D27" s="256"/>
      <c r="E27" s="256">
        <v>185</v>
      </c>
    </row>
    <row r="28" spans="1:5" x14ac:dyDescent="0.75">
      <c r="A28" s="255" t="s">
        <v>944</v>
      </c>
      <c r="B28" s="256">
        <v>125</v>
      </c>
      <c r="C28" s="256">
        <v>40</v>
      </c>
      <c r="D28" s="256"/>
      <c r="E28" s="256">
        <v>165</v>
      </c>
    </row>
    <row r="29" spans="1:5" x14ac:dyDescent="0.75">
      <c r="A29" s="255" t="s">
        <v>880</v>
      </c>
      <c r="B29" s="256">
        <v>125</v>
      </c>
      <c r="C29" s="256">
        <v>40</v>
      </c>
      <c r="D29" s="256">
        <v>90</v>
      </c>
      <c r="E29" s="256">
        <v>255</v>
      </c>
    </row>
    <row r="30" spans="1:5" x14ac:dyDescent="0.75">
      <c r="A30" s="255" t="s">
        <v>882</v>
      </c>
      <c r="B30" s="256">
        <v>125</v>
      </c>
      <c r="C30" s="256">
        <v>40</v>
      </c>
      <c r="D30" s="256"/>
      <c r="E30" s="256">
        <v>165</v>
      </c>
    </row>
    <row r="31" spans="1:5" x14ac:dyDescent="0.75">
      <c r="A31" s="255" t="s">
        <v>945</v>
      </c>
      <c r="B31" s="256">
        <v>125</v>
      </c>
      <c r="C31" s="256">
        <v>40</v>
      </c>
      <c r="D31" s="256"/>
      <c r="E31" s="256">
        <v>165</v>
      </c>
    </row>
    <row r="32" spans="1:5" x14ac:dyDescent="0.75">
      <c r="A32" s="255" t="s">
        <v>895</v>
      </c>
      <c r="B32" s="256">
        <v>125</v>
      </c>
      <c r="C32" s="256">
        <v>40</v>
      </c>
      <c r="D32" s="256"/>
      <c r="E32" s="256">
        <v>165</v>
      </c>
    </row>
    <row r="33" spans="1:5" x14ac:dyDescent="0.75">
      <c r="A33" s="255" t="s">
        <v>946</v>
      </c>
      <c r="B33" s="256">
        <v>185</v>
      </c>
      <c r="C33" s="256">
        <v>40</v>
      </c>
      <c r="D33" s="256"/>
      <c r="E33" s="256">
        <v>225</v>
      </c>
    </row>
    <row r="34" spans="1:5" x14ac:dyDescent="0.75">
      <c r="A34" s="255" t="s">
        <v>947</v>
      </c>
      <c r="B34" s="256">
        <v>125</v>
      </c>
      <c r="C34" s="256">
        <v>40</v>
      </c>
      <c r="D34" s="256"/>
      <c r="E34" s="256">
        <v>165</v>
      </c>
    </row>
    <row r="35" spans="1:5" x14ac:dyDescent="0.75">
      <c r="A35" s="255" t="s">
        <v>948</v>
      </c>
      <c r="B35" s="256">
        <v>125</v>
      </c>
      <c r="C35" s="256">
        <v>40</v>
      </c>
      <c r="D35" s="256"/>
      <c r="E35" s="256">
        <v>165</v>
      </c>
    </row>
    <row r="36" spans="1:5" x14ac:dyDescent="0.75">
      <c r="A36" s="255" t="s">
        <v>949</v>
      </c>
      <c r="B36" s="256">
        <v>125</v>
      </c>
      <c r="C36" s="256"/>
      <c r="D36" s="256"/>
      <c r="E36" s="256">
        <v>125</v>
      </c>
    </row>
    <row r="37" spans="1:5" x14ac:dyDescent="0.75">
      <c r="A37" s="255" t="s">
        <v>950</v>
      </c>
      <c r="B37" s="256">
        <v>85</v>
      </c>
      <c r="C37" s="256"/>
      <c r="D37" s="256"/>
      <c r="E37" s="256">
        <v>85</v>
      </c>
    </row>
    <row r="38" spans="1:5" x14ac:dyDescent="0.75">
      <c r="A38" s="255" t="s">
        <v>951</v>
      </c>
      <c r="B38" s="256">
        <v>125</v>
      </c>
      <c r="C38" s="256"/>
      <c r="D38" s="256"/>
      <c r="E38" s="256">
        <v>125</v>
      </c>
    </row>
    <row r="39" spans="1:5" x14ac:dyDescent="0.75">
      <c r="A39" s="255" t="s">
        <v>952</v>
      </c>
      <c r="B39" s="256">
        <v>125</v>
      </c>
      <c r="C39" s="256">
        <v>45</v>
      </c>
      <c r="D39" s="256">
        <v>65</v>
      </c>
      <c r="E39" s="256">
        <v>235</v>
      </c>
    </row>
    <row r="40" spans="1:5" x14ac:dyDescent="0.75">
      <c r="A40" s="255" t="s">
        <v>953</v>
      </c>
      <c r="B40" s="256">
        <v>125</v>
      </c>
      <c r="C40" s="256"/>
      <c r="D40" s="256"/>
      <c r="E40" s="256">
        <v>125</v>
      </c>
    </row>
    <row r="41" spans="1:5" x14ac:dyDescent="0.75">
      <c r="A41" s="255" t="s">
        <v>954</v>
      </c>
      <c r="B41" s="256">
        <v>105</v>
      </c>
      <c r="C41" s="256"/>
      <c r="D41" s="256"/>
      <c r="E41" s="256">
        <v>105</v>
      </c>
    </row>
    <row r="42" spans="1:5" x14ac:dyDescent="0.75">
      <c r="A42" s="255" t="s">
        <v>955</v>
      </c>
      <c r="B42" s="256">
        <v>125</v>
      </c>
      <c r="C42" s="256">
        <v>40</v>
      </c>
      <c r="D42" s="256"/>
      <c r="E42" s="256">
        <v>165</v>
      </c>
    </row>
    <row r="43" spans="1:5" x14ac:dyDescent="0.75">
      <c r="A43" s="255" t="s">
        <v>956</v>
      </c>
      <c r="B43" s="256">
        <v>125</v>
      </c>
      <c r="C43" s="256">
        <v>40</v>
      </c>
      <c r="D43" s="256"/>
      <c r="E43" s="256">
        <v>165</v>
      </c>
    </row>
    <row r="44" spans="1:5" x14ac:dyDescent="0.75">
      <c r="A44" s="255" t="s">
        <v>957</v>
      </c>
      <c r="B44" s="256">
        <v>125</v>
      </c>
      <c r="C44" s="256"/>
      <c r="D44" s="256"/>
      <c r="E44" s="256">
        <v>125</v>
      </c>
    </row>
    <row r="45" spans="1:5" x14ac:dyDescent="0.75">
      <c r="A45" s="255" t="s">
        <v>958</v>
      </c>
      <c r="B45" s="256">
        <v>125</v>
      </c>
      <c r="C45" s="256">
        <v>40</v>
      </c>
      <c r="D45" s="256"/>
      <c r="E45" s="256">
        <v>165</v>
      </c>
    </row>
    <row r="46" spans="1:5" x14ac:dyDescent="0.75">
      <c r="A46" s="255" t="s">
        <v>959</v>
      </c>
      <c r="B46" s="256">
        <v>85</v>
      </c>
      <c r="C46" s="256">
        <v>40</v>
      </c>
      <c r="D46" s="256"/>
      <c r="E46" s="256">
        <v>125</v>
      </c>
    </row>
    <row r="47" spans="1:5" x14ac:dyDescent="0.75">
      <c r="A47" s="255" t="s">
        <v>960</v>
      </c>
      <c r="B47" s="256">
        <v>125</v>
      </c>
      <c r="C47" s="256">
        <v>40</v>
      </c>
      <c r="D47" s="256"/>
      <c r="E47" s="256">
        <v>165</v>
      </c>
    </row>
    <row r="48" spans="1:5" x14ac:dyDescent="0.75">
      <c r="A48" s="255" t="s">
        <v>961</v>
      </c>
      <c r="B48" s="256">
        <v>125</v>
      </c>
      <c r="C48" s="256">
        <v>40</v>
      </c>
      <c r="D48" s="256"/>
      <c r="E48" s="256">
        <v>165</v>
      </c>
    </row>
    <row r="49" spans="1:5" x14ac:dyDescent="0.75">
      <c r="A49" s="255" t="s">
        <v>962</v>
      </c>
      <c r="B49" s="256">
        <v>85</v>
      </c>
      <c r="C49" s="256">
        <v>40</v>
      </c>
      <c r="D49" s="256"/>
      <c r="E49" s="256">
        <v>125</v>
      </c>
    </row>
    <row r="50" spans="1:5" x14ac:dyDescent="0.75">
      <c r="A50" s="255" t="s">
        <v>963</v>
      </c>
      <c r="B50" s="256">
        <v>125</v>
      </c>
      <c r="C50" s="256"/>
      <c r="D50" s="256"/>
      <c r="E50" s="256">
        <v>125</v>
      </c>
    </row>
    <row r="51" spans="1:5" x14ac:dyDescent="0.75">
      <c r="A51" s="255" t="s">
        <v>964</v>
      </c>
      <c r="B51" s="256">
        <v>125</v>
      </c>
      <c r="C51" s="256"/>
      <c r="D51" s="256"/>
      <c r="E51" s="256">
        <v>125</v>
      </c>
    </row>
    <row r="52" spans="1:5" x14ac:dyDescent="0.75">
      <c r="A52" s="255" t="s">
        <v>965</v>
      </c>
      <c r="B52" s="256">
        <v>85</v>
      </c>
      <c r="C52" s="256">
        <v>40</v>
      </c>
      <c r="D52" s="256"/>
      <c r="E52" s="256">
        <v>125</v>
      </c>
    </row>
    <row r="53" spans="1:5" x14ac:dyDescent="0.75">
      <c r="A53" s="255" t="s">
        <v>966</v>
      </c>
      <c r="B53" s="256">
        <v>85</v>
      </c>
      <c r="C53" s="256">
        <v>40</v>
      </c>
      <c r="D53" s="256"/>
      <c r="E53" s="256">
        <v>125</v>
      </c>
    </row>
    <row r="54" spans="1:5" x14ac:dyDescent="0.75">
      <c r="A54" s="255" t="s">
        <v>967</v>
      </c>
      <c r="B54" s="256">
        <v>155</v>
      </c>
      <c r="C54" s="256">
        <v>40</v>
      </c>
      <c r="D54" s="256"/>
      <c r="E54" s="256">
        <v>195</v>
      </c>
    </row>
    <row r="55" spans="1:5" x14ac:dyDescent="0.75">
      <c r="A55" s="255" t="s">
        <v>968</v>
      </c>
      <c r="B55" s="256">
        <v>125</v>
      </c>
      <c r="C55" s="256"/>
      <c r="D55" s="256"/>
      <c r="E55" s="256">
        <v>125</v>
      </c>
    </row>
    <row r="56" spans="1:5" x14ac:dyDescent="0.75">
      <c r="A56" s="255" t="s">
        <v>969</v>
      </c>
      <c r="B56" s="256">
        <v>125</v>
      </c>
      <c r="C56" s="256">
        <v>40</v>
      </c>
      <c r="D56" s="256"/>
      <c r="E56" s="256">
        <v>165</v>
      </c>
    </row>
    <row r="57" spans="1:5" x14ac:dyDescent="0.75">
      <c r="A57" s="255" t="s">
        <v>970</v>
      </c>
      <c r="B57" s="256">
        <v>85</v>
      </c>
      <c r="C57" s="256"/>
      <c r="D57" s="256"/>
      <c r="E57" s="256">
        <v>85</v>
      </c>
    </row>
    <row r="58" spans="1:5" x14ac:dyDescent="0.75">
      <c r="A58" s="255" t="s">
        <v>971</v>
      </c>
      <c r="B58" s="256">
        <v>40</v>
      </c>
      <c r="C58" s="256"/>
      <c r="D58" s="256"/>
      <c r="E58" s="256">
        <v>40</v>
      </c>
    </row>
    <row r="59" spans="1:5" x14ac:dyDescent="0.75">
      <c r="A59" s="255" t="s">
        <v>972</v>
      </c>
      <c r="B59" s="256">
        <v>125</v>
      </c>
      <c r="C59" s="256">
        <v>40</v>
      </c>
      <c r="D59" s="256"/>
      <c r="E59" s="256">
        <v>165</v>
      </c>
    </row>
    <row r="60" spans="1:5" x14ac:dyDescent="0.75">
      <c r="A60" s="255" t="s">
        <v>973</v>
      </c>
      <c r="B60" s="256">
        <v>85</v>
      </c>
      <c r="C60" s="256"/>
      <c r="D60" s="256"/>
      <c r="E60" s="256">
        <v>85</v>
      </c>
    </row>
    <row r="61" spans="1:5" x14ac:dyDescent="0.75">
      <c r="A61" s="255" t="s">
        <v>974</v>
      </c>
      <c r="B61" s="256">
        <v>85</v>
      </c>
      <c r="C61" s="256"/>
      <c r="D61" s="256"/>
      <c r="E61" s="256">
        <v>85</v>
      </c>
    </row>
    <row r="62" spans="1:5" x14ac:dyDescent="0.75">
      <c r="A62" s="255" t="s">
        <v>975</v>
      </c>
      <c r="B62" s="256">
        <v>85</v>
      </c>
      <c r="C62" s="256"/>
      <c r="D62" s="256"/>
      <c r="E62" s="256">
        <v>85</v>
      </c>
    </row>
    <row r="63" spans="1:5" x14ac:dyDescent="0.75">
      <c r="A63" s="255" t="s">
        <v>976</v>
      </c>
      <c r="B63" s="256">
        <v>125</v>
      </c>
      <c r="C63" s="256"/>
      <c r="D63" s="256"/>
      <c r="E63" s="256">
        <v>125</v>
      </c>
    </row>
    <row r="64" spans="1:5" x14ac:dyDescent="0.75">
      <c r="A64" s="255" t="s">
        <v>977</v>
      </c>
      <c r="B64" s="256">
        <v>105</v>
      </c>
      <c r="C64" s="256"/>
      <c r="D64" s="256"/>
      <c r="E64" s="256">
        <v>105</v>
      </c>
    </row>
    <row r="65" spans="1:5" x14ac:dyDescent="0.75">
      <c r="A65" s="255" t="s">
        <v>978</v>
      </c>
      <c r="B65" s="256">
        <v>125</v>
      </c>
      <c r="C65" s="256">
        <v>90</v>
      </c>
      <c r="D65" s="256">
        <v>75</v>
      </c>
      <c r="E65" s="256">
        <v>290</v>
      </c>
    </row>
    <row r="66" spans="1:5" x14ac:dyDescent="0.75">
      <c r="A66" s="255" t="s">
        <v>979</v>
      </c>
      <c r="B66" s="256">
        <v>125</v>
      </c>
      <c r="C66" s="256">
        <v>45</v>
      </c>
      <c r="D66" s="256"/>
      <c r="E66" s="256">
        <v>170</v>
      </c>
    </row>
    <row r="67" spans="1:5" x14ac:dyDescent="0.75">
      <c r="A67" s="255" t="s">
        <v>980</v>
      </c>
      <c r="B67" s="256">
        <v>125</v>
      </c>
      <c r="C67" s="256">
        <v>40</v>
      </c>
      <c r="D67" s="256"/>
      <c r="E67" s="256">
        <v>165</v>
      </c>
    </row>
    <row r="68" spans="1:5" x14ac:dyDescent="0.75">
      <c r="A68" s="255" t="s">
        <v>981</v>
      </c>
      <c r="B68" s="256">
        <v>125</v>
      </c>
      <c r="C68" s="256">
        <v>40</v>
      </c>
      <c r="D68" s="256">
        <v>45</v>
      </c>
      <c r="E68" s="256">
        <v>210</v>
      </c>
    </row>
    <row r="69" spans="1:5" x14ac:dyDescent="0.75">
      <c r="A69" s="255" t="s">
        <v>982</v>
      </c>
      <c r="B69" s="256">
        <v>185</v>
      </c>
      <c r="C69" s="256"/>
      <c r="D69" s="256"/>
      <c r="E69" s="256">
        <v>185</v>
      </c>
    </row>
    <row r="70" spans="1:5" x14ac:dyDescent="0.75">
      <c r="A70" s="255" t="s">
        <v>983</v>
      </c>
      <c r="B70" s="256">
        <v>105</v>
      </c>
      <c r="C70" s="256">
        <v>40</v>
      </c>
      <c r="D70" s="256"/>
      <c r="E70" s="256">
        <v>145</v>
      </c>
    </row>
    <row r="71" spans="1:5" x14ac:dyDescent="0.75">
      <c r="A71" s="255" t="s">
        <v>984</v>
      </c>
      <c r="B71" s="256">
        <v>85</v>
      </c>
      <c r="C71" s="256"/>
      <c r="D71" s="256"/>
      <c r="E71" s="256">
        <v>85</v>
      </c>
    </row>
    <row r="72" spans="1:5" x14ac:dyDescent="0.75">
      <c r="A72" s="255" t="s">
        <v>985</v>
      </c>
      <c r="B72" s="256">
        <v>85</v>
      </c>
      <c r="C72" s="256"/>
      <c r="D72" s="256"/>
      <c r="E72" s="256">
        <v>85</v>
      </c>
    </row>
    <row r="73" spans="1:5" x14ac:dyDescent="0.75">
      <c r="A73" s="255" t="s">
        <v>986</v>
      </c>
      <c r="B73" s="256">
        <v>125</v>
      </c>
      <c r="C73" s="256">
        <v>40</v>
      </c>
      <c r="D73" s="256"/>
      <c r="E73" s="256">
        <v>165</v>
      </c>
    </row>
    <row r="74" spans="1:5" x14ac:dyDescent="0.75">
      <c r="A74" s="255" t="s">
        <v>987</v>
      </c>
      <c r="B74" s="256">
        <v>150</v>
      </c>
      <c r="C74" s="256">
        <v>40</v>
      </c>
      <c r="D74" s="256"/>
      <c r="E74" s="256">
        <v>190</v>
      </c>
    </row>
    <row r="75" spans="1:5" x14ac:dyDescent="0.75">
      <c r="A75" s="255" t="s">
        <v>988</v>
      </c>
      <c r="B75" s="256">
        <v>5</v>
      </c>
      <c r="C75" s="256">
        <v>40</v>
      </c>
      <c r="D75" s="256"/>
      <c r="E75" s="256">
        <v>45</v>
      </c>
    </row>
    <row r="76" spans="1:5" x14ac:dyDescent="0.75">
      <c r="A76" s="255" t="s">
        <v>989</v>
      </c>
      <c r="B76" s="256">
        <v>125</v>
      </c>
      <c r="C76" s="256">
        <v>40</v>
      </c>
      <c r="D76" s="256"/>
      <c r="E76" s="256">
        <v>165</v>
      </c>
    </row>
    <row r="77" spans="1:5" x14ac:dyDescent="0.75">
      <c r="A77" s="255" t="s">
        <v>990</v>
      </c>
      <c r="B77" s="256">
        <v>125</v>
      </c>
      <c r="C77" s="256">
        <v>40</v>
      </c>
      <c r="D77" s="256"/>
      <c r="E77" s="256">
        <v>165</v>
      </c>
    </row>
    <row r="78" spans="1:5" x14ac:dyDescent="0.75">
      <c r="A78" s="255" t="s">
        <v>991</v>
      </c>
      <c r="B78" s="256">
        <v>85</v>
      </c>
      <c r="C78" s="256"/>
      <c r="D78" s="256"/>
      <c r="E78" s="256">
        <v>85</v>
      </c>
    </row>
    <row r="79" spans="1:5" x14ac:dyDescent="0.75">
      <c r="A79" s="255" t="s">
        <v>992</v>
      </c>
      <c r="B79" s="256">
        <v>85</v>
      </c>
      <c r="C79" s="256">
        <v>40</v>
      </c>
      <c r="D79" s="256"/>
      <c r="E79" s="256">
        <v>125</v>
      </c>
    </row>
    <row r="80" spans="1:5" x14ac:dyDescent="0.75">
      <c r="A80" s="255" t="s">
        <v>993</v>
      </c>
      <c r="B80" s="256">
        <v>85</v>
      </c>
      <c r="C80" s="256"/>
      <c r="D80" s="256"/>
      <c r="E80" s="256">
        <v>85</v>
      </c>
    </row>
    <row r="81" spans="1:5" x14ac:dyDescent="0.75">
      <c r="A81" s="255" t="s">
        <v>994</v>
      </c>
      <c r="B81" s="256">
        <v>105</v>
      </c>
      <c r="C81" s="256">
        <v>40</v>
      </c>
      <c r="D81" s="256"/>
      <c r="E81" s="256">
        <v>145</v>
      </c>
    </row>
    <row r="82" spans="1:5" x14ac:dyDescent="0.75">
      <c r="A82" s="255" t="s">
        <v>995</v>
      </c>
      <c r="B82" s="256">
        <v>85</v>
      </c>
      <c r="C82" s="256"/>
      <c r="D82" s="256"/>
      <c r="E82" s="256">
        <v>85</v>
      </c>
    </row>
    <row r="83" spans="1:5" x14ac:dyDescent="0.75">
      <c r="A83" s="255" t="s">
        <v>996</v>
      </c>
      <c r="B83" s="256">
        <v>125</v>
      </c>
      <c r="C83" s="256">
        <v>40</v>
      </c>
      <c r="D83" s="256"/>
      <c r="E83" s="256">
        <v>165</v>
      </c>
    </row>
    <row r="84" spans="1:5" x14ac:dyDescent="0.75">
      <c r="A84" s="255" t="s">
        <v>997</v>
      </c>
      <c r="B84" s="256">
        <v>125</v>
      </c>
      <c r="C84" s="256">
        <v>40</v>
      </c>
      <c r="D84" s="256"/>
      <c r="E84" s="256">
        <v>165</v>
      </c>
    </row>
    <row r="85" spans="1:5" x14ac:dyDescent="0.75">
      <c r="A85" s="255" t="s">
        <v>998</v>
      </c>
      <c r="B85" s="256">
        <v>125</v>
      </c>
      <c r="C85" s="256">
        <v>40</v>
      </c>
      <c r="D85" s="256"/>
      <c r="E85" s="256">
        <v>165</v>
      </c>
    </row>
    <row r="86" spans="1:5" x14ac:dyDescent="0.75">
      <c r="A86" s="255" t="s">
        <v>999</v>
      </c>
      <c r="B86" s="256">
        <v>105</v>
      </c>
      <c r="C86" s="256">
        <v>40</v>
      </c>
      <c r="D86" s="256"/>
      <c r="E86" s="256">
        <v>145</v>
      </c>
    </row>
    <row r="87" spans="1:5" x14ac:dyDescent="0.75">
      <c r="A87" s="255" t="s">
        <v>1000</v>
      </c>
      <c r="B87" s="256">
        <v>85</v>
      </c>
      <c r="C87" s="256"/>
      <c r="D87" s="256"/>
      <c r="E87" s="256">
        <v>85</v>
      </c>
    </row>
    <row r="88" spans="1:5" x14ac:dyDescent="0.75">
      <c r="A88" s="255" t="s">
        <v>1001</v>
      </c>
      <c r="B88" s="256">
        <v>40</v>
      </c>
      <c r="C88" s="256">
        <v>40</v>
      </c>
      <c r="D88" s="256"/>
      <c r="E88" s="256">
        <v>80</v>
      </c>
    </row>
    <row r="89" spans="1:5" x14ac:dyDescent="0.75">
      <c r="A89" s="255" t="s">
        <v>104</v>
      </c>
      <c r="B89" s="256">
        <v>9110</v>
      </c>
      <c r="C89" s="256">
        <v>2030</v>
      </c>
      <c r="D89" s="256">
        <v>275</v>
      </c>
      <c r="E89" s="256">
        <v>11415</v>
      </c>
    </row>
  </sheetData>
  <mergeCells count="10">
    <mergeCell ref="A4:B4"/>
    <mergeCell ref="D4:E4"/>
    <mergeCell ref="A5:B5"/>
    <mergeCell ref="D5:E5"/>
    <mergeCell ref="A1:B1"/>
    <mergeCell ref="D1:E1"/>
    <mergeCell ref="A2:B2"/>
    <mergeCell ref="D2:E2"/>
    <mergeCell ref="A3:B3"/>
    <mergeCell ref="D3:E3"/>
  </mergeCells>
  <conditionalFormatting sqref="A1:A5">
    <cfRule type="duplicateValues" dxfId="3" priority="3"/>
    <cfRule type="duplicateValues" dxfId="2" priority="4"/>
  </conditionalFormatting>
  <conditionalFormatting sqref="A1:A5">
    <cfRule type="duplicateValues" dxfId="1" priority="2"/>
  </conditionalFormatting>
  <conditionalFormatting sqref="A1:A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Rates</vt:lpstr>
      <vt:lpstr>7-5-2022</vt:lpstr>
      <vt:lpstr>7-6-2022</vt:lpstr>
      <vt:lpstr>7-7-2022</vt:lpstr>
      <vt:lpstr>7-8-2022</vt:lpstr>
      <vt:lpstr>7-9-2022</vt:lpstr>
      <vt:lpstr>Invoice 41</vt:lpstr>
      <vt:lpstr>Invoice 43</vt:lpstr>
      <vt:lpstr>Invoice 44</vt:lpstr>
      <vt:lpstr>Invoice 45</vt:lpstr>
      <vt:lpstr>Dataset 41</vt:lpstr>
      <vt:lpstr>Dataset 42</vt:lpstr>
      <vt:lpstr>Dataset 43</vt:lpstr>
      <vt:lpstr>Dataset 44</vt:lpstr>
      <vt:lpstr>Dataset 45</vt:lpstr>
      <vt:lpstr>Dataset 46</vt:lpstr>
      <vt:lpstr>Dataset 47</vt:lpstr>
      <vt:lpstr>Dataset 48</vt:lpstr>
      <vt:lpstr>Dataset 49</vt:lpstr>
      <vt:lpstr>Dataset 50</vt:lpstr>
      <vt:lpstr>Inv 41</vt:lpstr>
      <vt:lpstr>Inv 42</vt:lpstr>
      <vt:lpstr>Inv 43</vt:lpstr>
      <vt:lpstr>Inv 44</vt:lpstr>
      <vt:lpstr>Inv 45</vt:lpstr>
      <vt:lpstr>Inv 46</vt:lpstr>
      <vt:lpstr>Inv 47</vt:lpstr>
      <vt:lpstr>Inv 48</vt:lpstr>
      <vt:lpstr>Inv 49</vt:lpstr>
      <vt:lpstr>Inv 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Martin</dc:creator>
  <cp:lastModifiedBy>Shaun Muhammad</cp:lastModifiedBy>
  <cp:lastPrinted>2022-08-31T15:28:20Z</cp:lastPrinted>
  <dcterms:created xsi:type="dcterms:W3CDTF">2022-07-07T02:00:31Z</dcterms:created>
  <dcterms:modified xsi:type="dcterms:W3CDTF">2022-09-11T23:56:20Z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2022-07-06T18:37:56-04:00</dcterms:created>
  <dcterms:modified xsi:type="dcterms:W3CDTF">2022-07-06T18:37:56-04:00</dcterms:modified>
  <cp:revision>0</cp:revision>
</cp:coreProperties>
</file>